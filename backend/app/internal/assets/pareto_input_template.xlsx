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81D9F1CA-2B51-334E-B94C-E4913AE45CBA}" xr6:coauthVersionLast="47" xr6:coauthVersionMax="47" xr10:uidLastSave="{00000000-0000-0000-0000-000000000000}"/>
  <bookViews>
    <workbookView xWindow="12340" yWindow="760" windowWidth="21560" windowHeight="18900" tabRatio="953" xr2:uid="{FB8C51AB-905F-4544-9E4B-1F4384FA855C}"/>
  </bookViews>
  <sheets>
    <sheet name="Overview" sheetId="33" r:id="rId1"/>
    <sheet name="Schematic" sheetId="82" r:id="rId2"/>
    <sheet name="Units" sheetId="150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ExternalWaterSources" sheetId="35" r:id="rId8"/>
    <sheet name="WaterQualityComponents" sheetId="148" r:id="rId9"/>
    <sheet name="AirEmissionsComponents" sheetId="149" r:id="rId10"/>
    <sheet name="StorageSites" sheetId="36" r:id="rId11"/>
    <sheet name="TreatmentSites" sheetId="37" r:id="rId12"/>
    <sheet name="TreatmentTechnologies" sheetId="104" r:id="rId13"/>
    <sheet name="ReuseOptions" sheetId="38" r:id="rId14"/>
    <sheet name="NetworkNodes" sheetId="39" r:id="rId15"/>
    <sheet name="PipelineDiameters" sheetId="53" r:id="rId16"/>
    <sheet name="StorageCapacities" sheetId="54" r:id="rId17"/>
    <sheet name="TreatmentCapacities" sheetId="86" r:id="rId18"/>
    <sheet name="InjectionCapacities" sheetId="55" r:id="rId19"/>
    <sheet name="PNA" sheetId="56" r:id="rId20"/>
    <sheet name="CNA" sheetId="57" r:id="rId21"/>
    <sheet name="CCA" sheetId="73" r:id="rId22"/>
    <sheet name="NNA" sheetId="58" r:id="rId23"/>
    <sheet name="NCA" sheetId="59" r:id="rId24"/>
    <sheet name="NKA" sheetId="60" r:id="rId25"/>
    <sheet name="NRA" sheetId="61" r:id="rId26"/>
    <sheet name="NSA" sheetId="76" r:id="rId27"/>
    <sheet name="NOA" sheetId="119" r:id="rId28"/>
    <sheet name="SNA" sheetId="77" r:id="rId29"/>
    <sheet name="SOA" sheetId="120" r:id="rId30"/>
    <sheet name="FCA" sheetId="41" r:id="rId31"/>
    <sheet name="RCA" sheetId="83" r:id="rId32"/>
    <sheet name="RSA" sheetId="105" r:id="rId33"/>
    <sheet name="SCA" sheetId="108" r:id="rId34"/>
    <sheet name="RNA" sheetId="62" r:id="rId35"/>
    <sheet name="RKA" sheetId="134" r:id="rId36"/>
    <sheet name="ROA" sheetId="121" r:id="rId37"/>
    <sheet name="PCT" sheetId="42" r:id="rId38"/>
    <sheet name="FCT" sheetId="70" r:id="rId39"/>
    <sheet name="PKT" sheetId="43" r:id="rId40"/>
    <sheet name="CKT" sheetId="44" r:id="rId41"/>
    <sheet name="CCT" sheetId="74" r:id="rId42"/>
    <sheet name="CST" sheetId="64" r:id="rId43"/>
    <sheet name="RST" sheetId="122" r:id="rId44"/>
    <sheet name="ROT" sheetId="123" r:id="rId45"/>
    <sheet name="SOT" sheetId="124" r:id="rId46"/>
    <sheet name="RKT" sheetId="135" r:id="rId47"/>
    <sheet name="Elevation" sheetId="115" r:id="rId48"/>
    <sheet name="CompletionsDemand" sheetId="8" r:id="rId49"/>
    <sheet name="PadRates" sheetId="65" r:id="rId50"/>
    <sheet name="FlowbackRates" sheetId="75" r:id="rId51"/>
    <sheet name="WellPressure" sheetId="116" r:id="rId52"/>
    <sheet name="InitialPipelineCapacity" sheetId="118" r:id="rId53"/>
    <sheet name="InitialPipelineDiameters" sheetId="117" r:id="rId54"/>
    <sheet name="InitialDisposalCapacity" sheetId="46" r:id="rId55"/>
    <sheet name="InitialStorageCapacity" sheetId="80" r:id="rId56"/>
    <sheet name="InitialTreatmentCapacity" sheetId="67" r:id="rId57"/>
    <sheet name="ReuseMinimum" sheetId="125" r:id="rId58"/>
    <sheet name="ReuseCapacity" sheetId="126" r:id="rId59"/>
    <sheet name="ExtWaterSourcingAvailability" sheetId="47" r:id="rId60"/>
    <sheet name="CompletionsPadStorage" sheetId="72" r:id="rId61"/>
    <sheet name="PadOffloadingCapacity" sheetId="48" r:id="rId62"/>
    <sheet name="NodeCapacities" sheetId="102" r:id="rId63"/>
    <sheet name="DisposalOperatingCapacity" sheetId="112" r:id="rId64"/>
    <sheet name="DisposalOperationalCost" sheetId="49" r:id="rId65"/>
    <sheet name="TreatmentOperationalCost" sheetId="68" r:id="rId66"/>
    <sheet name="ReuseOperationalCost" sheetId="50" r:id="rId67"/>
    <sheet name="PipelineOperationalCost" sheetId="69" r:id="rId68"/>
    <sheet name="ExternalSourcingCost" sheetId="52" r:id="rId69"/>
    <sheet name="TruckingHourlyCost" sheetId="71" r:id="rId70"/>
    <sheet name="TruckingTime" sheetId="7" r:id="rId71"/>
    <sheet name="DisposalExpansionCost" sheetId="90" r:id="rId72"/>
    <sheet name="DisposalCapacityIncrements" sheetId="79" r:id="rId73"/>
    <sheet name="StorageExpansionCost" sheetId="91" r:id="rId74"/>
    <sheet name="StorageCapacityIncrements" sheetId="81" r:id="rId75"/>
    <sheet name="TreatmentExpansionCost" sheetId="92" r:id="rId76"/>
    <sheet name="TreatmentCapacityIncrements" sheetId="87" r:id="rId77"/>
    <sheet name="PipelineCapexDistanceBased" sheetId="89" r:id="rId78"/>
    <sheet name="PipelineExpansionDistance" sheetId="133" r:id="rId79"/>
    <sheet name="PipelineCapexCapacityBased" sheetId="98" r:id="rId80"/>
    <sheet name="PipelineCapacityIncrements" sheetId="97" r:id="rId81"/>
    <sheet name="PipelineDiameterValues" sheetId="78" r:id="rId82"/>
    <sheet name="TreatmentEfficiency" sheetId="107" r:id="rId83"/>
    <sheet name="RemovalEfficiency" sheetId="114" r:id="rId84"/>
    <sheet name="DesalinationTechnologies" sheetId="111" r:id="rId85"/>
    <sheet name="DesalinationSites" sheetId="113" r:id="rId86"/>
    <sheet name="BeneficialReuseCost" sheetId="136" r:id="rId87"/>
    <sheet name="BeneficialReuseCredit" sheetId="127" r:id="rId88"/>
    <sheet name="CompletionsPadOutsideSystem" sheetId="110" r:id="rId89"/>
    <sheet name="Hydraulics" sheetId="93" r:id="rId90"/>
    <sheet name="Economics" sheetId="95" r:id="rId91"/>
    <sheet name="ExternalWaterQuality" sheetId="147" r:id="rId92"/>
    <sheet name="PadWaterQuality" sheetId="99" r:id="rId93"/>
    <sheet name="StorageInitialWaterQuality" sheetId="100" r:id="rId94"/>
    <sheet name="PadStorageInitialWaterQuality" sheetId="101" r:id="rId95"/>
    <sheet name="AirEmissionCoefficients" sheetId="145" r:id="rId96"/>
    <sheet name="TreatmentEmissionCoefficients" sheetId="144" r:id="rId97"/>
    <sheet name="TreatmentExpansionLeadTime" sheetId="128" r:id="rId98"/>
    <sheet name="DisposalExpansionLeadTime" sheetId="129" r:id="rId99"/>
    <sheet name="StorageExpansionLeadTime" sheetId="130" r:id="rId100"/>
    <sheet name="PipelineExpansionLeadTime_Dist" sheetId="131" r:id="rId101"/>
    <sheet name="PipelineExpansionLeadTime_Capac" sheetId="132" r:id="rId102"/>
    <sheet name="SWDDeep" sheetId="137" r:id="rId103"/>
    <sheet name="SWDAveragePressure" sheetId="138" r:id="rId104"/>
    <sheet name="SWDProxPAWell" sheetId="139" r:id="rId105"/>
    <sheet name="SWDProxInactiveWell" sheetId="140" r:id="rId106"/>
    <sheet name="SWDProxEQ" sheetId="141" r:id="rId107"/>
    <sheet name="SWDProxFault" sheetId="142" r:id="rId108"/>
    <sheet name="SWDProxHpOrLpWell" sheetId="143" r:id="rId109"/>
    <sheet name="SWDRiskFactors" sheetId="146" r:id="rId110"/>
  </sheets>
  <definedNames>
    <definedName name="_xlnm._FilterDatabase" localSheetId="78" hidden="1">#REF!</definedName>
    <definedName name="_xlnm._FilterDatabase" localSheetId="12" hidden="1">TreatmentTechnologies!$A$1:$A$5</definedName>
    <definedName name="_xlnm.Extract" localSheetId="78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7" l="1"/>
  <c r="A1" i="47"/>
  <c r="A1" i="52"/>
  <c r="A1" i="145" l="1"/>
  <c r="A1" i="127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69"/>
  <c r="A1" i="50"/>
  <c r="A1" i="68"/>
  <c r="A1" i="49"/>
  <c r="A1" i="102"/>
  <c r="A1" i="48"/>
  <c r="A1" i="72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<sst xmlns="http://schemas.openxmlformats.org/spreadsheetml/2006/main" count="846" uniqueCount="306">
  <si>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</si>
  <si>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</si>
  <si>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</si>
  <si>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</si>
  <si>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</si>
  <si>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</si>
  <si>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</si>
  <si>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</si>
  <si>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</si>
  <si>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</si>
  <si>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</si>
  <si>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</si>
  <si>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</si>
  <si>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</si>
  <si>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</si>
  <si>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</si>
  <si>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</si>
  <si>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</si>
  <si>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</si>
  <si>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</si>
  <si>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</si>
  <si>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</si>
  <si>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</si>
  <si>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</si>
  <si>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</si>
  <si>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</si>
  <si>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</si>
  <si>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</si>
  <si>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</si>
  <si>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</si>
  <si>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</si>
  <si>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</si>
  <si>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</si>
  <si>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</si>
  <si>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</si>
  <si>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</si>
  <si>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</si>
  <si>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</si>
  <si>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</si>
  <si>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</si>
  <si>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</si>
  <si>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</si>
  <si>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</si>
  <si>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</si>
  <si>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</si>
  <si>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</si>
  <si>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</si>
  <si>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</si>
  <si>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</si>
  <si>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</si>
  <si>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</si>
  <si>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</si>
  <si>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</si>
  <si>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</si>
  <si>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</si>
  <si>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</si>
  <si>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</si>
  <si>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</si>
  <si>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</si>
  <si>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</si>
  <si>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</si>
  <si>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</si>
  <si>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</si>
  <si>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</si>
  <si>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</si>
  <si>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</si>
  <si>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</si>
  <si>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</si>
  <si>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</si>
  <si>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</si>
  <si>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</si>
  <si>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</si>
  <si>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</si>
  <si>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</si>
  <si>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</si>
  <si>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</si>
  <si>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</si>
  <si>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</si>
  <si>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</si>
  <si>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</si>
  <si>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</si>
  <si>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</si>
  <si>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</si>
  <si>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</si>
  <si>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</si>
  <si>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</si>
  <si>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</si>
  <si>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</si>
  <si>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</si>
  <si>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</si>
  <si>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</si>
  <si>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</si>
  <si>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</si>
  <si>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</si>
  <si>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</si>
  <si>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</si>
  <si>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</si>
  <si>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</si>
  <si>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</si>
  <si>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</si>
  <si>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</si>
  <si>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</si>
  <si>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</si>
  <si>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</si>
  <si>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</si>
  <si>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</si>
  <si>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</si>
  <si>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</si>
  <si>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</si>
  <si>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</si>
  <si>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</si>
  <si>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</si>
  <si>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</si>
  <si>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</si>
  <si>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</si>
  <si>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</si>
  <si>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</si>
  <si>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</si>
  <si>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</si>
  <si>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</si>
  <si>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</si>
  <si>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</si>
  <si>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</si>
  <si>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</si>
  <si>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</si>
  <si>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</si>
  <si>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</si>
  <si>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</si>
  <si>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</si>
  <si>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</si>
  <si>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</si>
  <si>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</si>
  <si>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</si>
  <si>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</si>
  <si>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</si>
  <si>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</si>
  <si>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</si>
  <si>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</si>
  <si>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</si>
  <si>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</si>
  <si>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</si>
  <si>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</si>
  <si>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</si>
  <si>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</si>
  <si>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</si>
  <si>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</si>
  <si>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TreatmentSites</t>
  </si>
  <si>
    <t>Storage Sites to Completions Piping Arcs [-]</t>
  </si>
  <si>
    <t>StorageSites</t>
  </si>
  <si>
    <t>Production Pads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</si>
  <si>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</si>
  <si>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</si>
  <si>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</si>
  <si>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</si>
  <si>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</si>
  <si>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</si>
  <si>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</si>
  <si>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</si>
  <si>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</si>
  <si>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</si>
  <si>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</si>
  <si>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</si>
  <si>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</si>
  <si>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</si>
  <si>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</si>
  <si>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</si>
  <si>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</si>
  <si>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</si>
  <si>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</si>
  <si>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</si>
  <si>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</si>
  <si>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</si>
  <si>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</si>
  <si>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</si>
  <si>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</si>
  <si>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</si>
  <si>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</si>
  <si>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</si>
  <si>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</si>
  <si>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</si>
  <si>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</si>
  <si>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</si>
  <si>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</si>
  <si>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</si>
  <si>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</si>
  <si>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</si>
  <si>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</si>
  <si>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</si>
  <si>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</si>
  <si>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</si>
  <si>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</si>
  <si>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</si>
  <si>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</si>
  <si>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</si>
  <si>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</si>
  <si>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</si>
  <si>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</si>
  <si>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</si>
  <si>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</si>
  <si>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</si>
  <si>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</si>
  <si>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</si>
  <si>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</si>
  <si>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</si>
  <si>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</si>
  <si>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</si>
  <si>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</si>
  <si>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</si>
  <si>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</si>
  <si>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</si>
  <si>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</si>
  <si>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</si>
  <si>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</si>
  <si>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</si>
  <si>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</si>
  <si>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</si>
  <si>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</si>
  <si>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</si>
  <si>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</si>
  <si>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</si>
  <si>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</si>
  <si>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</si>
  <si>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</si>
  <si>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</si>
  <si>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</si>
  <si>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</si>
  <si>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</si>
  <si>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</si>
  <si>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</si>
  <si>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</si>
  <si>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</si>
  <si>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</si>
  <si>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</si>
  <si>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</si>
  <si>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</si>
  <si>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</si>
  <si>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</si>
  <si>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</si>
  <si>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</si>
  <si>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</si>
  <si>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</si>
  <si>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</si>
  <si>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</si>
  <si>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</si>
  <si>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</si>
  <si>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</si>
  <si>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</si>
  <si>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</si>
  <si>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</si>
  <si>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</si>
  <si>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</si>
  <si>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</si>
  <si>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</si>
  <si>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</si>
  <si>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</si>
  <si>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</si>
  <si>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</si>
  <si>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</si>
  <si>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</si>
  <si>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</si>
  <si>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</si>
  <si>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</si>
  <si>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</si>
  <si>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</si>
  <si>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</si>
  <si>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</si>
  <si>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</si>
  <si>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</si>
  <si>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</si>
  <si>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</si>
  <si>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</si>
  <si>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</si>
  <si>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</si>
  <si>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</si>
  <si>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</si>
  <si>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</si>
  <si>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</si>
  <si>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</si>
  <si>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</si>
  <si>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</si>
  <si>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</si>
  <si>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</si>
  <si>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</si>
  <si>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</si>
  <si>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</si>
  <si>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</si>
  <si>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</si>
  <si>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</si>
  <si>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</si>
  <si>
    <t>Trucking [g/hour]</t>
  </si>
  <si>
    <t>Pipeline Operations [g/(bbl*mile)]</t>
  </si>
  <si>
    <t>Pipeline Installation [g/mile]</t>
  </si>
  <si>
    <t>Disposal [g/bbl]</t>
  </si>
  <si>
    <t>Storage [g/(bbl*week)]</t>
  </si>
  <si>
    <t>Table of Air Emissions Coefficients for Treatment Technologies [g/bbl]</t>
  </si>
  <si>
    <t>List of all External Water Source Identifiers [-]</t>
  </si>
  <si>
    <t>ExternalWaterSources</t>
  </si>
  <si>
    <t>External Water Sources to Completions Pads Piping Arcs [-]</t>
  </si>
  <si>
    <t>External Water Sources to Completions Pads Trucking Arcs [-]</t>
  </si>
  <si>
    <t>List of all Water Quality Components [-]</t>
  </si>
  <si>
    <t>List of all Air Emissions Components [-]</t>
  </si>
  <si>
    <t>1000g</t>
  </si>
  <si>
    <t>kg</t>
  </si>
  <si>
    <t>Mass units is used for measuring emissions coefficients (e.g. 10g per treated produced water bbl).</t>
  </si>
  <si>
    <t>g</t>
  </si>
  <si>
    <t>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</si>
</sst>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0" fontId="1" fillId="0" borderId="0" xfId="2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abSelected="1" topLeftCell="A4"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19DE1-7232-9D4E-A12D-8B7450D54C2A}">
  <sheetPr>
    <tabColor theme="2" tint="-9.9978637043366805E-2"/>
  </sheetPr>
  <dimension ref="A1:BB12"/>
  <sheetViews>
    <sheetView zoomScaleNormal="100" workbookViewId="0"/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4" ht="17" thickBot="1" x14ac:dyDescent="0.25">
      <c r="A1" s="1" t="s">
        <v>43</v>
      </c>
    </row>
    <row r="2" spans="1:54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4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4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4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4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4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4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233</v>
      </c>
      <c r="BA8" s="24" t="s">
        <v>75</v>
      </c>
    </row>
    <row r="9" spans="1:54" x14ac:dyDescent="0.2">
      <c r="A9" s="21" t="s">
        <v>233</v>
      </c>
      <c r="B9" s="30" t="s">
        <v>234</v>
      </c>
      <c r="D9" s="38" t="s">
        <v>235</v>
      </c>
      <c r="E9" s="41" t="s">
        <v>234</v>
      </c>
      <c r="F9" s="34" t="s">
        <v>51</v>
      </c>
      <c r="G9" s="34" t="s">
        <v>236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237</v>
      </c>
      <c r="BA9" s="1" t="s">
        <v>73</v>
      </c>
    </row>
    <row r="10" spans="1:54" x14ac:dyDescent="0.2">
      <c r="A10" s="21" t="s">
        <v>238</v>
      </c>
      <c r="B10" s="30" t="s">
        <v>83</v>
      </c>
      <c r="D10" s="38" t="s">
        <v>239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234</v>
      </c>
      <c r="BA10" s="1" t="s">
        <v>77</v>
      </c>
    </row>
    <row r="11" spans="1:54" x14ac:dyDescent="0.2">
      <c r="A11" s="21" t="s">
        <v>76</v>
      </c>
      <c r="B11" s="30" t="s">
        <v>77</v>
      </c>
      <c r="D11" s="38" t="s">
        <v>78</v>
      </c>
      <c r="E11" s="41" t="s">
        <v>79</v>
      </c>
      <c r="F11" s="34" t="s">
        <v>51</v>
      </c>
      <c r="G11" s="34" t="s">
        <v>80</v>
      </c>
      <c r="H11" s="38"/>
      <c r="I11" s="34" t="s">
        <v>81</v>
      </c>
      <c r="J11" s="34" t="s">
        <v>51</v>
      </c>
      <c r="K11" s="36" t="s">
        <v>82</v>
      </c>
      <c r="AU11" s="1" t="s">
        <v>86</v>
      </c>
      <c r="BA11" s="1" t="s">
        <v>79</v>
      </c>
    </row>
    <row r="12" spans="1:54" ht="17" thickBot="1" x14ac:dyDescent="0.25">
      <c r="A12" s="22" t="s">
        <v>305</v>
      </c>
      <c r="B12" s="26" t="s">
        <v>304</v>
      </c>
      <c r="D12" s="42" t="s">
        <v>303</v>
      </c>
      <c r="E12" s="46" t="s">
        <v>302</v>
      </c>
      <c r="F12" s="47" t="s">
        <v>51</v>
      </c>
      <c r="G12" s="48" t="s">
        <v>301</v>
      </c>
      <c r="H12" s="42"/>
      <c r="I12" s="49"/>
      <c r="J12" s="47"/>
      <c r="K12" s="48"/>
      <c r="AU12" s="1" t="s">
        <v>58</v>
      </c>
      <c r="BB12" s="1" t="s">
        <v>81</v>
      </c>
    </row>
  </sheetData>
  <dataValidations count="8">
    <dataValidation type="list" allowBlank="1" showInputMessage="1" showErrorMessage="1" sqref="B11" xr:uid="{F2F718D3-1F2B-4B75-B6F1-E58F1982C8E5}">
      <formula1>$BA$9:$BA$12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3" xr:uid="{0221D16C-ACF3-42AE-9C26-25DCEE5A4935}">
      <formula1>$AT$9:$AT$10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295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33666-F0B1-1249-8F2A-F38C8FD1594F}">
  <sheetPr>
    <tabColor theme="9" tint="0.79998168889431442"/>
  </sheetPr>
  <dimension ref="A1:A2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299</v>
      </c>
    </row>
    <row r="2" spans="1:1" x14ac:dyDescent="0.2">
      <c r="A2" s="2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DD37-D888-DA4D-8789-41151AFFDC45}">
  <sheetPr>
    <tabColor theme="9" tint="0.79998168889431442"/>
  </sheetPr>
  <dimension ref="A1:A6"/>
  <sheetViews>
    <sheetView workbookViewId="0">
      <selection activeCell="C6" sqref="C6"/>
    </sheetView>
  </sheetViews>
  <sheetFormatPr baseColWidth="10" defaultColWidth="8.83203125" defaultRowHeight="15" x14ac:dyDescent="0.2"/>
  <sheetData>
    <row r="1" spans="1:1" ht="16" x14ac:dyDescent="0.2">
      <c r="A1" s="1" t="s">
        <v>300</v>
      </c>
    </row>
    <row r="2" spans="1:1" ht="16" x14ac:dyDescent="0.2">
      <c r="A2" s="2" t="s">
        <v>269</v>
      </c>
    </row>
    <row r="3" spans="1:1" ht="16" x14ac:dyDescent="0.2">
      <c r="A3" s="2" t="s">
        <v>270</v>
      </c>
    </row>
    <row r="4" spans="1:1" ht="16" x14ac:dyDescent="0.2">
      <c r="A4" s="2" t="s">
        <v>271</v>
      </c>
    </row>
    <row r="5" spans="1:1" ht="16" x14ac:dyDescent="0.2">
      <c r="A5" s="2" t="s">
        <v>272</v>
      </c>
    </row>
    <row r="6" spans="1:1" ht="16" x14ac:dyDescent="0.2">
      <c r="A6" s="2" t="s">
        <v>273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E12" sqref="E1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107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2" t="s">
        <v>109</v>
      </c>
    </row>
    <row r="3" spans="1:16" x14ac:dyDescent="0.2">
      <c r="A3" s="2" t="s">
        <v>110</v>
      </c>
      <c r="N3" s="6"/>
      <c r="O3" s="6"/>
      <c r="P3" s="6"/>
    </row>
    <row r="4" spans="1:16" x14ac:dyDescent="0.2">
      <c r="A4" s="2" t="s">
        <v>230</v>
      </c>
    </row>
    <row r="5" spans="1:16" x14ac:dyDescent="0.2">
      <c r="A5" s="2" t="s">
        <v>231</v>
      </c>
    </row>
    <row r="6" spans="1:16" x14ac:dyDescent="0.2">
      <c r="A6" s="2" t="s">
        <v>274</v>
      </c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111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113</v>
      </c>
    </row>
    <row r="2" spans="1:1" x14ac:dyDescent="0.2">
      <c r="A2" s="2" t="s">
        <v>114</v>
      </c>
    </row>
    <row r="3" spans="1:1" x14ac:dyDescent="0.2">
      <c r="A3" s="2" t="s">
        <v>115</v>
      </c>
    </row>
    <row r="4" spans="1:1" x14ac:dyDescent="0.2">
      <c r="A4" s="2" t="s">
        <v>116</v>
      </c>
    </row>
    <row r="5" spans="1:1" x14ac:dyDescent="0.2">
      <c r="A5" s="2" t="s">
        <v>117</v>
      </c>
    </row>
    <row r="6" spans="1:1" x14ac:dyDescent="0.2">
      <c r="A6" s="2" t="s">
        <v>118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119</v>
      </c>
    </row>
    <row r="2" spans="1:16" x14ac:dyDescent="0.2">
      <c r="A2" s="2" t="s">
        <v>120</v>
      </c>
    </row>
    <row r="3" spans="1:16" x14ac:dyDescent="0.2">
      <c r="A3" s="2" t="s">
        <v>121</v>
      </c>
      <c r="N3" s="6"/>
      <c r="O3" s="6"/>
      <c r="P3" s="6"/>
    </row>
    <row r="4" spans="1:16" x14ac:dyDescent="0.2">
      <c r="A4" s="2" t="s">
        <v>122</v>
      </c>
    </row>
    <row r="5" spans="1:16" x14ac:dyDescent="0.2">
      <c r="A5" s="2" t="s">
        <v>123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124</v>
      </c>
    </row>
    <row r="2" spans="1:16" x14ac:dyDescent="0.2">
      <c r="A2" s="2" t="s">
        <v>125</v>
      </c>
    </row>
    <row r="3" spans="1:16" x14ac:dyDescent="0.2">
      <c r="A3" s="2" t="s">
        <v>126</v>
      </c>
      <c r="N3" s="6"/>
      <c r="O3" s="6"/>
      <c r="P3" s="6"/>
    </row>
    <row r="4" spans="1:16" x14ac:dyDescent="0.2">
      <c r="A4" s="2" t="s">
        <v>127</v>
      </c>
    </row>
    <row r="5" spans="1:16" x14ac:dyDescent="0.2">
      <c r="A5" s="2" t="s">
        <v>128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129</v>
      </c>
    </row>
    <row r="2" spans="1:16" x14ac:dyDescent="0.2">
      <c r="A2" s="2" t="s">
        <v>130</v>
      </c>
    </row>
    <row r="3" spans="1:16" x14ac:dyDescent="0.2">
      <c r="A3" s="2" t="s">
        <v>131</v>
      </c>
      <c r="N3" s="6"/>
      <c r="O3" s="6"/>
      <c r="P3" s="6"/>
    </row>
    <row r="4" spans="1:16" x14ac:dyDescent="0.2">
      <c r="A4" s="2" t="s">
        <v>132</v>
      </c>
    </row>
    <row r="5" spans="1:16" x14ac:dyDescent="0.2">
      <c r="A5" s="2" t="s">
        <v>133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134</v>
      </c>
    </row>
    <row r="2" spans="1:11" s="4" customFormat="1" x14ac:dyDescent="0.2">
      <c r="A2" s="6" t="s">
        <v>135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136</v>
      </c>
    </row>
    <row r="2" spans="1:11" s="4" customFormat="1" x14ac:dyDescent="0.2">
      <c r="A2" s="6" t="s">
        <v>137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138</v>
      </c>
    </row>
    <row r="2" spans="1:2" s="4" customFormat="1" x14ac:dyDescent="0.2">
      <c r="A2" s="6" t="s">
        <v>137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139</v>
      </c>
    </row>
    <row r="2" spans="1:11" s="4" customFormat="1" x14ac:dyDescent="0.2">
      <c r="A2" s="6" t="s">
        <v>140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141</v>
      </c>
    </row>
    <row r="2" spans="1:2" s="4" customFormat="1" x14ac:dyDescent="0.2">
      <c r="A2" s="6" t="s">
        <v>140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142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144</v>
      </c>
    </row>
    <row r="2" spans="1:4" s="4" customFormat="1" x14ac:dyDescent="0.2">
      <c r="A2" s="6" t="s">
        <v>140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248</v>
      </c>
    </row>
    <row r="2" spans="1:4" x14ac:dyDescent="0.2">
      <c r="A2" s="6" t="s">
        <v>140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145</v>
      </c>
    </row>
    <row r="2" spans="1:10" s="4" customFormat="1" x14ac:dyDescent="0.2">
      <c r="A2" s="6" t="s">
        <v>148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249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297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256</v>
      </c>
    </row>
    <row r="2" spans="1:2" s="4" customFormat="1" x14ac:dyDescent="0.2">
      <c r="A2" s="6" t="s">
        <v>146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250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147</v>
      </c>
    </row>
    <row r="2" spans="1:2" x14ac:dyDescent="0.2">
      <c r="A2" s="6" t="s">
        <v>148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257</v>
      </c>
    </row>
    <row r="2" spans="1:10" s="4" customFormat="1" x14ac:dyDescent="0.2">
      <c r="A2" s="6" t="s">
        <v>146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251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149</v>
      </c>
    </row>
    <row r="2" spans="1:2" s="4" customFormat="1" x14ac:dyDescent="0.2">
      <c r="A2" s="6" t="s">
        <v>135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298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150</v>
      </c>
    </row>
    <row r="2" spans="1:3" s="4" customFormat="1" x14ac:dyDescent="0.2">
      <c r="A2" s="6" t="s">
        <v>135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151</v>
      </c>
    </row>
    <row r="2" spans="1:3" s="4" customFormat="1" x14ac:dyDescent="0.2">
      <c r="A2" s="6" t="s">
        <v>137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137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153</v>
      </c>
    </row>
    <row r="2" spans="1:4" s="4" customFormat="1" x14ac:dyDescent="0.2">
      <c r="A2" s="6" t="s">
        <v>137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240</v>
      </c>
    </row>
    <row r="2" spans="1:4" x14ac:dyDescent="0.2">
      <c r="A2" s="5" t="s">
        <v>206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e">
        <f>_xlfn.CONCAT( "Table of Completions Water Demand for Completions Sites over ",VLOOKUP("decision period",#REF!, 2, FALSE),"s [",VLOOKUP("volume",#REF!, 2, FALSE),"/", VLOOKUP("time",#REF!, 2, FALSE),"]")</f>
        <v>#REF!</v>
      </c>
    </row>
    <row r="2" spans="1:55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e">
        <f>_xlfn.CONCAT( "Table of Production Rate Forecasts by Pads [",VLOOKUP("volume",#REF!, 2, FALSE),"/", VLOOKUP("time",#REF!, 2, FALSE),"]")</f>
        <v>#REF!</v>
      </c>
    </row>
    <row r="2" spans="1:53" s="4" customFormat="1" x14ac:dyDescent="0.2">
      <c r="A2" s="6" t="s">
        <v>135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e">
        <f>_xlfn.CONCAT( "Table of Flowback Rate Forecasts by Pads [",VLOOKUP("volume",#REF!, 2, FALSE),"/", VLOOKUP("time",#REF!, 2, FALSE),"]")</f>
        <v>#REF!</v>
      </c>
    </row>
    <row r="2" spans="1:53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247</v>
      </c>
      <c r="E1" s="1" t="s">
        <v>241</v>
      </c>
      <c r="H1" s="1" t="s">
        <v>242</v>
      </c>
      <c r="O1" s="1" t="s">
        <v>243</v>
      </c>
      <c r="Q1" s="1">
        <v>0.01</v>
      </c>
    </row>
    <row r="2" spans="1:55" s="4" customFormat="1" x14ac:dyDescent="0.2">
      <c r="A2" s="6" t="s">
        <v>206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e">
        <f>_xlfn.CONCAT( "Table of Initial Pipeline Capacity between Sites [",VLOOKUP("volume",#REF!, 2, FALSE),"/", VLOOKUP("time",#REF!,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244</v>
      </c>
    </row>
    <row r="2" spans="1:62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e">
        <f>_xlfn.CONCAT( "Table of Initial Disposal Capacity [",VLOOKUP("volume",#REF!, 2, FALSE),"/", VLOOKUP("time",#REF!, 2, FALSE),"]")</f>
        <v>#REF!</v>
      </c>
    </row>
    <row r="2" spans="1:2" s="4" customFormat="1" x14ac:dyDescent="0.2">
      <c r="A2" s="6" t="s">
        <v>207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e">
        <f>_xlfn.CONCAT( "Table of Initial Storage Capacity [",VLOOKUP("volume",#REF!, 2, FALSE),"]")</f>
        <v>#REF!</v>
      </c>
    </row>
    <row r="2" spans="1:2" s="4" customFormat="1" x14ac:dyDescent="0.2">
      <c r="A2" s="6" t="s">
        <v>148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e">
        <f>_xlfn.CONCAT( "Table of Initial Treatment Capacity [",VLOOKUP("volume",#REF!, 2, FALSE),"/", VLOOKUP("time",#REF!, 2, FALSE),"]")</f>
        <v>#REF!</v>
      </c>
    </row>
    <row r="2" spans="1:6" x14ac:dyDescent="0.2">
      <c r="A2" s="6" t="s">
        <v>146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e">
        <f>_xlfn.CONCAT( "Table of Beneficial Reuse minimum required flow [",VLOOKUP("volume",#REF!, 2, FALSE),"/", VLOOKUP("time",#REF!, 2, FALSE),"]")</f>
        <v>#REF!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e">
        <f>_xlfn.CONCAT( "Table of Beneficial Reuse Capacity [",VLOOKUP("volume",#REF!, 2, FALSE),"/", VLOOKUP("time",#REF!, 2, FALSE),"] (leave cells blank to indicate infinite capacity)")</f>
        <v>#REF!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e">
        <f>_xlfn.CONCAT( "Table of External Water Sourcing Availability [",VLOOKUP("volume",#REF!, 2, FALSE),"/", VLOOKUP("time",#REF!, 2, FALSE),"]")</f>
        <v>#REF!</v>
      </c>
      <c r="E1" s="1" t="s">
        <v>105</v>
      </c>
      <c r="F1" s="1">
        <v>71428.571428571406</v>
      </c>
      <c r="H1" s="1" t="s">
        <v>106</v>
      </c>
      <c r="I1" s="1">
        <v>42857.142857142899</v>
      </c>
      <c r="K1" s="1" t="s">
        <v>225</v>
      </c>
      <c r="L1" s="1">
        <v>0.7</v>
      </c>
    </row>
    <row r="2" spans="1:53" s="4" customFormat="1" x14ac:dyDescent="0.2">
      <c r="A2" s="6" t="s">
        <v>296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e">
        <f>_xlfn.CONCAT( "Table of Completions Pad Storage Capacity [",VLOOKUP("volume",#REF!,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e">
        <f>_xlfn.CONCAT( "Table of Pad Offloading Capacity [",VLOOKUP("volume",#REF!, 2, FALSE),"/", VLOOKUP("time",#REF!,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e">
        <f>_xlfn.CONCAT( "Table of Node Capacity Capacity [",VLOOKUP("volume",#REF!, 2, FALSE),"/", VLOOKUP("time",#REF!, 2, FALSE),"]", " *absence of node or empty cell signifies no max capacity")</f>
        <v>#REF!</v>
      </c>
    </row>
    <row r="2" spans="1:2" s="4" customFormat="1" x14ac:dyDescent="0.2">
      <c r="A2" s="6" t="s">
        <v>206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207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226</v>
      </c>
      <c r="F9" s="5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e">
        <f>_xlfn.CONCAT( "Table of Disposal Operational Cost [",VLOOKUP("currency",#REF!, 2, FALSE),"/", VLOOKUP("volume",#REF!, 2, FALSE),"]")</f>
        <v>#REF!</v>
      </c>
    </row>
    <row r="2" spans="1:2" s="4" customFormat="1" x14ac:dyDescent="0.2">
      <c r="A2" s="6" t="s">
        <v>207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e">
        <f>_xlfn.CONCAT( "Table of Treatment Operational Cost [",VLOOKUP("currency",#REF!, 2, FALSE),"/", VLOOKUP("volume",#REF!, 2, FALSE),"]")</f>
        <v>#REF!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e">
        <f>_xlfn.CONCAT( "Table of Reuse Operational Cost [",VLOOKUP("currency",#REF!, 2, FALSE),"/", VLOOKUP("volume",#REF!,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e">
        <f>_xlfn.CONCAT( "Table of Pipeline Operational Cost between Sites [",VLOOKUP("currency",#REF!, 2, FALSE),"/", VLOOKUP("volume",#REF!,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e">
        <f>_xlfn.CONCAT( "Table of External Water Souring Cost [",VLOOKUP("currency",#REF!, 2, FALSE),"/", VLOOKUP("volume",#REF!, 2, FALSE),"]")</f>
        <v>#REF!</v>
      </c>
    </row>
    <row r="2" spans="1:2" s="4" customFormat="1" x14ac:dyDescent="0.2">
      <c r="A2" s="6" t="s">
        <v>296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e">
        <f>_xlfn.CONCAT( "Table of Trucking Hourly Cost [",VLOOKUP("currency",#REF!, 2, FALSE),"/", "hour","]")</f>
        <v>#REF!</v>
      </c>
    </row>
    <row r="2" spans="1:2" x14ac:dyDescent="0.2">
      <c r="A2" s="6" t="s">
        <v>206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208</v>
      </c>
    </row>
    <row r="2" spans="1:3" x14ac:dyDescent="0.2">
      <c r="A2" s="5" t="s">
        <v>206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e">
        <f>_xlfn.CONCAT( "Table of Disposal Capacity Expansion Cost [",VLOOKUP("currency",#REF!, 2, FALSE),"/(", VLOOKUP("volume",#REF!, 2, FALSE),"/", VLOOKUP("time",#REF!, 2, FALSE),")]")</f>
        <v>#REF!</v>
      </c>
    </row>
    <row r="2" spans="1:5" s="4" customFormat="1" x14ac:dyDescent="0.2">
      <c r="A2" s="6" t="s">
        <v>207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e">
        <f>_xlfn.CONCAT( "Table of Disposal Capacity Expansion Increments [",VLOOKUP("volume",#REF!, 2, FALSE),"/", VLOOKUP("time",#REF!, 2, FALSE),"]")</f>
        <v>#REF!</v>
      </c>
    </row>
    <row r="2" spans="1:2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e">
        <f>_xlfn.CONCAT( "Table of Storage Capacity Expansion Cost [",VLOOKUP("currency",#REF!, 2, FALSE),"/", VLOOKUP("volume",#REF!, 2, FALSE),"]")</f>
        <v>#REF!</v>
      </c>
    </row>
    <row r="2" spans="1:5" s="4" customFormat="1" x14ac:dyDescent="0.2">
      <c r="A2" s="6" t="s">
        <v>148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e">
        <f>_xlfn.CONCAT( "Table of Storage Capacity Expansion Increments [",VLOOKUP("volume",#REF!, 2, FALSE),"]")</f>
        <v>#REF!</v>
      </c>
    </row>
    <row r="2" spans="1:2" x14ac:dyDescent="0.2">
      <c r="A2" s="6" t="s">
        <v>212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e">
        <f>_xlfn.CONCAT( "Table of Treatment Capacity Expansion Cost [",VLOOKUP("currency",#REF!, 2, FALSE),"/(", VLOOKUP("volume",#REF!, 2, FALSE),"/", VLOOKUP("time",#REF!, 2, FALSE),")]")</f>
        <v>#REF!</v>
      </c>
    </row>
    <row r="2" spans="1:6" x14ac:dyDescent="0.2">
      <c r="A2" s="6" t="s">
        <v>146</v>
      </c>
      <c r="B2" s="6" t="s">
        <v>209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e">
        <f>_xlfn.CONCAT( "Table of Treatment Capacity Expansion Increments [",VLOOKUP("volume",#REF!, 2, FALSE),"/", VLOOKUP("time",#REF!, 2, FALSE),"]")</f>
        <v>#REF!</v>
      </c>
    </row>
    <row r="2" spans="1:5" x14ac:dyDescent="0.2">
      <c r="A2" s="6" t="s">
        <v>213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e">
        <f>_xlfn.CONCAT( "Pipeline Expansion Cost [",VLOOKUP("currency",#REF!, 2, FALSE),"/(", VLOOKUP("diameter",#REF!, 2, FALSE),"-", VLOOKUP("distance",#REF!, 2, FALSE),")]")</f>
        <v>#REF!</v>
      </c>
    </row>
    <row r="2" spans="1:2" x14ac:dyDescent="0.2">
      <c r="A2" s="3" t="s">
        <v>44</v>
      </c>
      <c r="B2" s="20" t="s">
        <v>216</v>
      </c>
    </row>
    <row r="3" spans="1:2" ht="17" thickBot="1" x14ac:dyDescent="0.25">
      <c r="A3" s="22" t="s">
        <v>217</v>
      </c>
      <c r="B3" s="26">
        <v>300000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e">
        <f>_xlfn.CONCAT( "Table of Pipeline Expansion Distances [",VLOOKUP("distance",#REF!,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e">
        <f>_xlfn.CONCAT( "Table of Pipeline Capacity Expansion Costs [",VLOOKUP("currency",#REF!, 2, FALSE),"/(", VLOOKUP("volume",#REF!, 2, FALSE),"/", VLOOKUP("time",#REF!, 2, FALSE),")]")</f>
        <v>#REF!</v>
      </c>
    </row>
    <row r="2" spans="1:7" x14ac:dyDescent="0.2">
      <c r="A2" s="6" t="s">
        <v>206</v>
      </c>
      <c r="B2" s="6" t="s">
        <v>206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e">
        <f>_xlfn.CONCAT( "Table of Pipeline Capacity Expansion Increments [",VLOOKUP("volume",#REF!, 2, FALSE),"/", VLOOKUP("time",#REF!, 2, FALSE),"]")</f>
        <v>#REF!</v>
      </c>
    </row>
    <row r="2" spans="1:2" x14ac:dyDescent="0.2">
      <c r="A2" s="6" t="s">
        <v>210</v>
      </c>
      <c r="B2" s="6" t="s">
        <v>45</v>
      </c>
    </row>
    <row r="3" spans="1:2" x14ac:dyDescent="0.2">
      <c r="A3" s="6" t="s">
        <v>114</v>
      </c>
      <c r="B3" s="54">
        <v>0</v>
      </c>
    </row>
    <row r="4" spans="1:2" x14ac:dyDescent="0.2">
      <c r="A4" s="6" t="s">
        <v>115</v>
      </c>
      <c r="B4" s="54">
        <v>14285.714285714286</v>
      </c>
    </row>
    <row r="5" spans="1:2" x14ac:dyDescent="0.2">
      <c r="A5" s="6" t="s">
        <v>116</v>
      </c>
      <c r="B5" s="54">
        <v>35714.285714285717</v>
      </c>
    </row>
    <row r="6" spans="1:2" x14ac:dyDescent="0.2">
      <c r="A6" s="6" t="s">
        <v>117</v>
      </c>
      <c r="B6" s="54">
        <v>42857.142857142855</v>
      </c>
    </row>
    <row r="7" spans="1:2" x14ac:dyDescent="0.2">
      <c r="A7" s="6" t="s">
        <v>118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e">
        <f>_xlfn.CONCAT( "Table of Pipeline Diameters [",VLOOKUP("diameter",#REF!, 2, FALSE),"]")</f>
        <v>#REF!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214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232</v>
      </c>
    </row>
    <row r="2" spans="1:3" x14ac:dyDescent="0.2">
      <c r="A2" s="6" t="s">
        <v>146</v>
      </c>
      <c r="B2" s="6" t="s">
        <v>209</v>
      </c>
      <c r="C2" s="6" t="s">
        <v>215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229</v>
      </c>
    </row>
    <row r="2" spans="1:2" x14ac:dyDescent="0.2">
      <c r="A2" s="6" t="s">
        <v>209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227</v>
      </c>
    </row>
    <row r="2" spans="1:2" x14ac:dyDescent="0.2">
      <c r="A2" s="6" t="s">
        <v>146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261</v>
      </c>
    </row>
    <row r="2" spans="1:2" ht="16" x14ac:dyDescent="0.2">
      <c r="A2" s="6" t="s">
        <v>255</v>
      </c>
      <c r="B2" s="6" t="s">
        <v>45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e">
        <f>_xlfn.CONCAT( "Table with credit received for sending water to beneficial reuse [",VLOOKUP("currency",#REF!, 2, FALSE),"/", VLOOKUP("volume",#REF!, 2, FALSE),"]")</f>
        <v>#REF!</v>
      </c>
    </row>
    <row r="2" spans="1:2" x14ac:dyDescent="0.2">
      <c r="A2" s="6" t="s">
        <v>255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228</v>
      </c>
    </row>
    <row r="2" spans="1:2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218</v>
      </c>
    </row>
    <row r="2" spans="1:3" x14ac:dyDescent="0.2">
      <c r="A2" s="3" t="s">
        <v>44</v>
      </c>
      <c r="B2" s="20" t="s">
        <v>216</v>
      </c>
    </row>
    <row r="3" spans="1:3" x14ac:dyDescent="0.2">
      <c r="A3" s="21" t="s">
        <v>219</v>
      </c>
      <c r="B3" s="25">
        <v>110</v>
      </c>
    </row>
    <row r="4" spans="1:3" x14ac:dyDescent="0.2">
      <c r="A4" s="21" t="s">
        <v>220</v>
      </c>
      <c r="B4" s="30">
        <v>0.03</v>
      </c>
    </row>
    <row r="5" spans="1:3" x14ac:dyDescent="0.2">
      <c r="A5" s="21" t="s">
        <v>245</v>
      </c>
      <c r="B5" s="25">
        <v>10</v>
      </c>
      <c r="C5" s="1" t="s">
        <v>234</v>
      </c>
    </row>
    <row r="6" spans="1:3" ht="17" thickBot="1" x14ac:dyDescent="0.25">
      <c r="A6" s="22" t="s">
        <v>246</v>
      </c>
      <c r="B6" s="26">
        <v>150</v>
      </c>
      <c r="C6" s="1" t="s">
        <v>234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221</v>
      </c>
    </row>
    <row r="2" spans="1:2" x14ac:dyDescent="0.2">
      <c r="A2" s="3" t="s">
        <v>44</v>
      </c>
      <c r="B2" s="20" t="s">
        <v>216</v>
      </c>
    </row>
    <row r="3" spans="1:2" x14ac:dyDescent="0.2">
      <c r="A3" s="21" t="s">
        <v>222</v>
      </c>
      <c r="B3" s="30">
        <v>0.08</v>
      </c>
    </row>
    <row r="4" spans="1:2" ht="17" thickBot="1" x14ac:dyDescent="0.25">
      <c r="A4" s="22" t="s">
        <v>223</v>
      </c>
      <c r="B4" s="26">
        <v>20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FC6D-65BF-9E45-B3EE-314250A8309C}">
  <sheetPr>
    <tabColor theme="8" tint="0.79998168889431442"/>
  </sheetPr>
  <dimension ref="A1:B4"/>
  <sheetViews>
    <sheetView workbookViewId="0">
      <selection activeCell="E5" sqref="E5"/>
    </sheetView>
  </sheetViews>
  <sheetFormatPr baseColWidth="10" defaultColWidth="9.1640625" defaultRowHeight="16" x14ac:dyDescent="0.2"/>
  <cols>
    <col min="1" max="1" width="26" style="1" customWidth="1"/>
    <col min="2" max="16384" width="9.1640625" style="1"/>
  </cols>
  <sheetData>
    <row r="1" spans="1:2" x14ac:dyDescent="0.2">
      <c r="A1" s="1" t="str">
        <f>_xlfn.CONCAT( "Table of Water Quality of External Water Sources [",VLOOKUP("concentration", Units!$A$2:$B$11, 2, FALSE),"]")</f>
        <v>Table of Water Quality of External Water Sources [mg/liter]</v>
      </c>
    </row>
    <row r="2" spans="1:2" x14ac:dyDescent="0.2">
      <c r="A2" s="6" t="s">
        <v>296</v>
      </c>
      <c r="B2" s="6" t="s">
        <v>215</v>
      </c>
    </row>
    <row r="3" spans="1:2" x14ac:dyDescent="0.2">
      <c r="A3" s="6"/>
      <c r="B3" s="81"/>
    </row>
    <row r="4" spans="1:2" x14ac:dyDescent="0.2">
      <c r="A4" s="6"/>
      <c r="B4" s="81"/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e">
        <f>_xlfn.CONCAT( "Table of Water Quality of Produced Water and Flowback Water [",VLOOKUP("concentration",#REF!, 2, FALSE),"]")</f>
        <v>#REF!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e">
        <f>_xlfn.CONCAT( "Table of Initial Water Quality at Storage [", VLOOKUP("concentration",#REF!, 2, FALSE),,"]")</f>
        <v>#REF!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e">
        <f>_xlfn.CONCAT( "Table of Initial Water Quality at Completions Pad Storage [",VLOOKUP("concentration",#REF!, 2, FALSE),"]")</f>
        <v>#REF!</v>
      </c>
    </row>
    <row r="2" spans="1:2" x14ac:dyDescent="0.2">
      <c r="A2" s="6" t="s">
        <v>137</v>
      </c>
      <c r="B2" s="6" t="s">
        <v>215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21" t="s">
        <v>289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">
        <v>290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">
        <v>291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">
        <v>292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">
        <v>293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workbookViewId="0">
      <selection activeCell="M15" sqref="M15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">
        <v>294</v>
      </c>
      <c r="B1" s="1"/>
    </row>
    <row r="2" spans="1:6" ht="16" x14ac:dyDescent="0.2">
      <c r="A2" s="63" t="s">
        <v>209</v>
      </c>
      <c r="B2" s="64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66" t="s">
        <v>109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110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230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231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274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e">
        <f>_xlfn.CONCAT( "Table of Treatment Expansion Lead Time [",VLOOKUP("decision period",#REF!, 2, FALSE),"s]")</f>
        <v>#REF!</v>
      </c>
      <c r="B1" s="1"/>
      <c r="C1" s="1"/>
      <c r="D1" s="1"/>
      <c r="E1" s="1"/>
      <c r="F1" s="1"/>
    </row>
    <row r="2" spans="1:11" ht="16" x14ac:dyDescent="0.2">
      <c r="A2" s="6" t="s">
        <v>146</v>
      </c>
      <c r="B2" s="6" t="s">
        <v>209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e">
        <f>_xlfn.CONCAT( "Table of Disposal Expansion Lead Time [",VLOOKUP("decision period",#REF!, 2, FALSE),"s]")</f>
        <v>#REF!</v>
      </c>
      <c r="B1" s="1"/>
      <c r="C1" s="1"/>
    </row>
    <row r="2" spans="1:3" ht="16" x14ac:dyDescent="0.2">
      <c r="A2" s="6" t="s">
        <v>207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e">
        <f>_xlfn.CONCAT( "Table of Storage Expansion Lead Time [",VLOOKUP("decision period",#REF!, 2, FALSE),"s]")</f>
        <v>#REF!</v>
      </c>
      <c r="B1" s="1"/>
      <c r="C1" s="1"/>
    </row>
    <row r="2" spans="1:5" ht="16" x14ac:dyDescent="0.2">
      <c r="A2" s="6" t="s">
        <v>148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e">
        <f>_xlfn.CONCAT( "Table of Pipeline Expansion Lead Time - Distance Based [",VLOOKUP("decision period",#REF!, 2, FALSE),"s/",VLOOKUP("distance",#REF!, 2, FALSE),"]")</f>
        <v>#REF!</v>
      </c>
    </row>
    <row r="2" spans="1:2" ht="16" x14ac:dyDescent="0.2">
      <c r="A2" s="3" t="s">
        <v>44</v>
      </c>
      <c r="B2" s="20" t="s">
        <v>216</v>
      </c>
    </row>
    <row r="3" spans="1:2" ht="17" thickBot="1" x14ac:dyDescent="0.25">
      <c r="A3" s="22" t="s">
        <v>258</v>
      </c>
      <c r="B3" s="57">
        <v>0.2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e">
        <f>_xlfn.CONCAT( "Table of Pipeline Expansion Lead Time - Capacity Based [",VLOOKUP("decision period",#REF!, 2, FALSE),"s]")</f>
        <v>#REF!</v>
      </c>
      <c r="B1" s="1"/>
      <c r="C1" s="1"/>
      <c r="D1" s="1"/>
    </row>
    <row r="2" spans="1:5" ht="16" x14ac:dyDescent="0.2">
      <c r="A2" s="6" t="s">
        <v>206</v>
      </c>
      <c r="B2" s="6" t="s">
        <v>206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262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263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264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265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275</v>
      </c>
    </row>
    <row r="2" spans="1:3" x14ac:dyDescent="0.2">
      <c r="A2" s="75" t="s">
        <v>44</v>
      </c>
      <c r="B2" s="76" t="s">
        <v>216</v>
      </c>
    </row>
    <row r="3" spans="1:3" x14ac:dyDescent="0.2">
      <c r="A3" s="77" t="s">
        <v>276</v>
      </c>
      <c r="B3" s="78">
        <v>1.86</v>
      </c>
    </row>
    <row r="4" spans="1:3" x14ac:dyDescent="0.2">
      <c r="A4" s="77" t="s">
        <v>277</v>
      </c>
      <c r="B4" s="78">
        <v>2</v>
      </c>
    </row>
    <row r="5" spans="1:3" x14ac:dyDescent="0.2">
      <c r="A5" s="77" t="s">
        <v>278</v>
      </c>
      <c r="B5" s="78">
        <v>1.86</v>
      </c>
    </row>
    <row r="6" spans="1:3" x14ac:dyDescent="0.2">
      <c r="A6" s="77" t="s">
        <v>279</v>
      </c>
      <c r="B6" s="78">
        <v>2</v>
      </c>
    </row>
    <row r="7" spans="1:3" x14ac:dyDescent="0.2">
      <c r="A7" s="77" t="s">
        <v>280</v>
      </c>
      <c r="B7" s="78">
        <v>5.59</v>
      </c>
    </row>
    <row r="8" spans="1:3" x14ac:dyDescent="0.2">
      <c r="A8" s="77" t="s">
        <v>281</v>
      </c>
      <c r="B8" s="78">
        <v>1</v>
      </c>
    </row>
    <row r="9" spans="1:3" x14ac:dyDescent="0.2">
      <c r="A9" s="77" t="s">
        <v>282</v>
      </c>
      <c r="B9" s="78">
        <v>5.59</v>
      </c>
    </row>
    <row r="10" spans="1:3" x14ac:dyDescent="0.2">
      <c r="A10" s="77" t="s">
        <v>283</v>
      </c>
      <c r="B10" s="78">
        <v>1</v>
      </c>
    </row>
    <row r="11" spans="1:3" x14ac:dyDescent="0.2">
      <c r="A11" s="77" t="s">
        <v>284</v>
      </c>
      <c r="B11" s="78">
        <v>1.86</v>
      </c>
    </row>
    <row r="12" spans="1:3" x14ac:dyDescent="0.2">
      <c r="A12" s="77" t="s">
        <v>285</v>
      </c>
      <c r="B12" s="78">
        <v>2</v>
      </c>
    </row>
    <row r="13" spans="1:3" x14ac:dyDescent="0.2">
      <c r="A13" s="77" t="s">
        <v>286</v>
      </c>
      <c r="B13" s="78">
        <v>0.7</v>
      </c>
      <c r="C13" s="74" t="s">
        <v>287</v>
      </c>
    </row>
    <row r="14" spans="1:3" ht="17" thickBot="1" x14ac:dyDescent="0.25">
      <c r="A14" s="79" t="s">
        <v>288</v>
      </c>
      <c r="B14" s="80">
        <v>0.5</v>
      </c>
      <c r="C14" s="74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110</vt:i4>
      </vt:variant>
    </vt:vector>
  </HeadingPairs>
  <TitlesOfParts>
    <vt:vector size="110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ExternalWaterSources</vt:lpstr>
      <vt:lpstr>WaterQualityComponents</vt:lpstr>
      <vt:lpstr>AirEmissionsComponents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ExtWaterSourcingAvailability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ExternalSourcingCost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ExternalWaterQuality</vt:lpstr>
      <vt:lpstr>PadWaterQuality</vt:lpstr>
      <vt:lpstr>StorageInitialWaterQuality</vt:lpstr>
      <vt:lpstr>PadStorageInitialWaterQuality</vt:lpstr>
      <vt:lpstr>AirEmissionCoefficients</vt:lpstr>
      <vt:lpstr>TreatmentEmissionCoefficients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2026-03-09T20:43:57Z</dcterms:modified>
  <cp:category/>
  <cp:contentStatus/>
</cp:coreProperties>
</file>