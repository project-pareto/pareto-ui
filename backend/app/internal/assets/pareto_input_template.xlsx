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sheets/sheet101.xml" ContentType="application/vnd.openxmlformats-officedocument.spreadsheetml.worksheet+xml"/>
  <Override PartName="/xl/worksheets/sheet102.xml" ContentType="application/vnd.openxmlformats-officedocument.spreadsheetml.worksheet+xml"/>
  <Override PartName="/xl/worksheets/sheet103.xml" ContentType="application/vnd.openxmlformats-officedocument.spreadsheetml.worksheet+xml"/>
  <Override PartName="/xl/worksheets/sheet104.xml" ContentType="application/vnd.openxmlformats-officedocument.spreadsheetml.worksheet+xml"/>
  <Override PartName="/xl/worksheets/sheet105.xml" ContentType="application/vnd.openxmlformats-officedocument.spreadsheetml.worksheet+xml"/>
  <Override PartName="/xl/worksheets/sheet106.xml" ContentType="application/vnd.openxmlformats-officedocument.spreadsheetml.worksheet+xml"/>
  <Override PartName="/xl/worksheets/sheet107.xml" ContentType="application/vnd.openxmlformats-officedocument.spreadsheetml.worksheet+xml"/>
  <Override PartName="/xl/worksheets/sheet108.xml" ContentType="application/vnd.openxmlformats-officedocument.spreadsheetml.worksheet+xml"/>
  <Override PartName="/xl/worksheets/sheet109.xml" ContentType="application/vnd.openxmlformats-officedocument.spreadsheetml.worksheet+xml"/>
  <Override PartName="/xl/worksheets/sheet1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michaelpesce/Desktop/pareto-ui/backend/app/internal/assets/"/>
    </mc:Choice>
  </mc:AlternateContent>
  <xr:revisionPtr revIDLastSave="0" documentId="13_ncr:1_{B0343C21-CC0E-CE4A-8B38-676F0769AC96}" xr6:coauthVersionLast="47" xr6:coauthVersionMax="47" xr10:uidLastSave="{00000000-0000-0000-0000-000000000000}"/>
  <bookViews>
    <workbookView xWindow="16760" yWindow="760" windowWidth="17800" windowHeight="19320" tabRatio="953" xr2:uid="{FB8C51AB-905F-4544-9E4B-1F4384FA855C}"/>
  </bookViews>
  <sheets>
    <sheet name="Overview" sheetId="33" r:id="rId1"/>
    <sheet name="Schematic" sheetId="82" r:id="rId2"/>
    <sheet name="Units" sheetId="150" r:id="rId3"/>
    <sheet name="ProductionPads" sheetId="1" r:id="rId4"/>
    <sheet name="ProductionTanks" sheetId="34" state="hidden" r:id="rId5"/>
    <sheet name="CompletionsPads" sheetId="3" r:id="rId6"/>
    <sheet name="SWDSites" sheetId="4" r:id="rId7"/>
    <sheet name="ExternalWaterSources" sheetId="35" r:id="rId8"/>
    <sheet name="WaterQualityComponents" sheetId="148" r:id="rId9"/>
    <sheet name="AirEmissionsComponents" sheetId="149" r:id="rId10"/>
    <sheet name="StorageSites" sheetId="36" r:id="rId11"/>
    <sheet name="TreatmentSites" sheetId="37" r:id="rId12"/>
    <sheet name="TreatmentTechnologies" sheetId="104" r:id="rId13"/>
    <sheet name="ReuseOptions" sheetId="38" r:id="rId14"/>
    <sheet name="NetworkNodes" sheetId="39" r:id="rId15"/>
    <sheet name="PipelineDiameters" sheetId="53" r:id="rId16"/>
    <sheet name="StorageCapacities" sheetId="54" r:id="rId17"/>
    <sheet name="TreatmentCapacities" sheetId="86" r:id="rId18"/>
    <sheet name="InjectionCapacities" sheetId="55" r:id="rId19"/>
    <sheet name="PNA" sheetId="56" r:id="rId20"/>
    <sheet name="CNA" sheetId="57" r:id="rId21"/>
    <sheet name="CCA" sheetId="73" r:id="rId22"/>
    <sheet name="NNA" sheetId="58" r:id="rId23"/>
    <sheet name="NCA" sheetId="59" r:id="rId24"/>
    <sheet name="NKA" sheetId="60" r:id="rId25"/>
    <sheet name="NRA" sheetId="61" r:id="rId26"/>
    <sheet name="NSA" sheetId="76" r:id="rId27"/>
    <sheet name="NOA" sheetId="119" r:id="rId28"/>
    <sheet name="SNA" sheetId="77" r:id="rId29"/>
    <sheet name="SOA" sheetId="120" r:id="rId30"/>
    <sheet name="FCA" sheetId="41" r:id="rId31"/>
    <sheet name="RCA" sheetId="83" r:id="rId32"/>
    <sheet name="RSA" sheetId="105" r:id="rId33"/>
    <sheet name="SCA" sheetId="108" r:id="rId34"/>
    <sheet name="RNA" sheetId="62" r:id="rId35"/>
    <sheet name="RKA" sheetId="134" r:id="rId36"/>
    <sheet name="ROA" sheetId="121" r:id="rId37"/>
    <sheet name="PCT" sheetId="42" r:id="rId38"/>
    <sheet name="FCT" sheetId="70" r:id="rId39"/>
    <sheet name="PKT" sheetId="43" r:id="rId40"/>
    <sheet name="CKT" sheetId="44" r:id="rId41"/>
    <sheet name="CCT" sheetId="74" r:id="rId42"/>
    <sheet name="CST" sheetId="64" r:id="rId43"/>
    <sheet name="RST" sheetId="122" r:id="rId44"/>
    <sheet name="ROT" sheetId="123" r:id="rId45"/>
    <sheet name="SOT" sheetId="124" r:id="rId46"/>
    <sheet name="RKT" sheetId="135" r:id="rId47"/>
    <sheet name="Elevation" sheetId="115" r:id="rId48"/>
    <sheet name="CompletionsDemand" sheetId="8" r:id="rId49"/>
    <sheet name="PadRates" sheetId="65" r:id="rId50"/>
    <sheet name="FlowbackRates" sheetId="75" r:id="rId51"/>
    <sheet name="WellPressure" sheetId="116" r:id="rId52"/>
    <sheet name="InitialPipelineCapacity" sheetId="118" r:id="rId53"/>
    <sheet name="InitialPipelineDiameters" sheetId="117" r:id="rId54"/>
    <sheet name="InitialDisposalCapacity" sheetId="46" r:id="rId55"/>
    <sheet name="InitialStorageCapacity" sheetId="80" r:id="rId56"/>
    <sheet name="InitialTreatmentCapacity" sheetId="67" r:id="rId57"/>
    <sheet name="ReuseMinimum" sheetId="125" r:id="rId58"/>
    <sheet name="ReuseCapacity" sheetId="126" r:id="rId59"/>
    <sheet name="ExtWaterSourcingAvailability" sheetId="47" r:id="rId60"/>
    <sheet name="CompletionsPadStorage" sheetId="72" r:id="rId61"/>
    <sheet name="PadOffloadingCapacity" sheetId="48" r:id="rId62"/>
    <sheet name="NodeCapacities" sheetId="102" r:id="rId63"/>
    <sheet name="DisposalOperatingCapacity" sheetId="112" r:id="rId64"/>
    <sheet name="DisposalOperationalCost" sheetId="49" r:id="rId65"/>
    <sheet name="TreatmentOperationalCost" sheetId="68" r:id="rId66"/>
    <sheet name="ReuseOperationalCost" sheetId="50" r:id="rId67"/>
    <sheet name="PipelineOperationalCost" sheetId="69" r:id="rId68"/>
    <sheet name="ExternalSourcingCost" sheetId="52" r:id="rId69"/>
    <sheet name="TruckingHourlyCost" sheetId="71" r:id="rId70"/>
    <sheet name="TruckingTime" sheetId="7" r:id="rId71"/>
    <sheet name="DisposalExpansionCost" sheetId="90" r:id="rId72"/>
    <sheet name="DisposalCapacityIncrements" sheetId="79" r:id="rId73"/>
    <sheet name="StorageExpansionCost" sheetId="91" r:id="rId74"/>
    <sheet name="StorageCapacityIncrements" sheetId="81" r:id="rId75"/>
    <sheet name="TreatmentExpansionCost" sheetId="92" r:id="rId76"/>
    <sheet name="TreatmentCapacityIncrements" sheetId="87" r:id="rId77"/>
    <sheet name="PipelineCapexDistanceBased" sheetId="89" r:id="rId78"/>
    <sheet name="PipelineExpansionDistance" sheetId="133" r:id="rId79"/>
    <sheet name="PipelineCapexCapacityBased" sheetId="98" r:id="rId80"/>
    <sheet name="PipelineCapacityIncrements" sheetId="97" r:id="rId81"/>
    <sheet name="PipelineDiameterValues" sheetId="78" r:id="rId82"/>
    <sheet name="TreatmentEfficiency" sheetId="107" r:id="rId83"/>
    <sheet name="RemovalEfficiency" sheetId="114" r:id="rId84"/>
    <sheet name="DesalinationTechnologies" sheetId="111" r:id="rId85"/>
    <sheet name="DesalinationSites" sheetId="113" r:id="rId86"/>
    <sheet name="BeneficialReuseCost" sheetId="136" r:id="rId87"/>
    <sheet name="BeneficialReuseCredit" sheetId="127" r:id="rId88"/>
    <sheet name="CompletionsPadOutsideSystem" sheetId="110" r:id="rId89"/>
    <sheet name="Hydraulics" sheetId="93" r:id="rId90"/>
    <sheet name="Economics" sheetId="95" r:id="rId91"/>
    <sheet name="ExternalWaterQuality" sheetId="147" r:id="rId92"/>
    <sheet name="PadWaterQuality" sheetId="99" r:id="rId93"/>
    <sheet name="StorageInitialWaterQuality" sheetId="100" r:id="rId94"/>
    <sheet name="AirEmissionCoefficients" sheetId="145" r:id="rId95"/>
    <sheet name="TreatmentEmissionCoefficients" sheetId="144" r:id="rId96"/>
    <sheet name="PadStorageInitialWaterQuality" sheetId="101" r:id="rId97"/>
    <sheet name="TreatmentExpansionLeadTime" sheetId="128" r:id="rId98"/>
    <sheet name="DisposalExpansionLeadTime" sheetId="129" r:id="rId99"/>
    <sheet name="StorageExpansionLeadTime" sheetId="130" r:id="rId100"/>
    <sheet name="PipelineExpansionLeadTime_Dist" sheetId="131" r:id="rId101"/>
    <sheet name="PipelineExpansionLeadTime_Capac" sheetId="132" r:id="rId102"/>
    <sheet name="SWDDeep" sheetId="137" r:id="rId103"/>
    <sheet name="SWDAveragePressure" sheetId="138" r:id="rId104"/>
    <sheet name="SWDProxPAWell" sheetId="139" r:id="rId105"/>
    <sheet name="SWDProxInactiveWell" sheetId="140" r:id="rId106"/>
    <sheet name="SWDProxEQ" sheetId="141" r:id="rId107"/>
    <sheet name="SWDProxFault" sheetId="142" r:id="rId108"/>
    <sheet name="SWDProxHpOrLpWell" sheetId="143" r:id="rId109"/>
    <sheet name="SWDRiskFactors" sheetId="146" r:id="rId110"/>
  </sheets>
  <definedNames>
    <definedName name="_xlnm._FilterDatabase" localSheetId="78" hidden="1">#REF!</definedName>
    <definedName name="_xlnm._FilterDatabase" localSheetId="12" hidden="1">TreatmentTechnologies!$A$1:$A$5</definedName>
    <definedName name="_xlnm.Extract" localSheetId="78">PipelineExpansionDistance!#REF!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1" i="131" l="1"/>
  <c r="A1" i="130"/>
  <c r="A1" i="128"/>
  <c r="A1" i="129"/>
  <c r="A1" i="101"/>
  <c r="A1" i="100"/>
  <c r="A1" i="99"/>
  <c r="A1" i="127"/>
  <c r="A1" i="78"/>
  <c r="A1" i="98"/>
  <c r="A1" i="133"/>
  <c r="A1" i="89"/>
  <c r="A1" i="87"/>
  <c r="A1" i="92"/>
  <c r="A1" i="91"/>
  <c r="A1" i="81"/>
  <c r="A1" i="79"/>
  <c r="A1" i="90"/>
  <c r="A1" i="71"/>
  <c r="A1" i="52"/>
  <c r="A1" i="69"/>
  <c r="A1" i="50"/>
  <c r="A1" i="68"/>
  <c r="A1" i="49"/>
  <c r="A1" i="102"/>
  <c r="A1" i="48"/>
  <c r="A1" i="72"/>
  <c r="A1" i="47"/>
  <c r="A1" i="67"/>
  <c r="A1" i="80"/>
  <c r="A1" i="46"/>
  <c r="A1" i="118"/>
  <c r="A1" i="75"/>
  <c r="A1" i="65"/>
  <c r="A1" i="8"/>
  <c r="A1" i="126"/>
  <c r="A1" i="125"/>
  <c r="A1" i="147" l="1"/>
  <c r="A1" i="145" l="1"/>
  <c r="A1" i="132" l="1"/>
  <c r="A1" i="97" l="1"/>
  <c r="A1" i="112" l="1"/>
</calcChain>
</file>

<file path=xl/sharedStrings.xml><?xml version="1.0" encoding="utf-8"?>
<sst xmlns="http://schemas.openxmlformats.org/spreadsheetml/2006/main" count="848" uniqueCount="306">
  <si>
    <t>Data Input Spreadsheet Overview</t>
  </si>
  <si>
    <t xml:space="preserve">Purpose: This data input spreadsheet collects all the case study specific data that is </t>
  </si>
  <si>
    <t xml:space="preserve">fed into the optimization model. An advanced algorithm then considers this data along </t>
  </si>
  <si>
    <t>with any/all constraints specified to determine the best possible solution(s). Those</t>
  </si>
  <si>
    <t>solutions are then returned to the user as specific recommendations for action (e.g.</t>
  </si>
  <si>
    <t>haul 2,340 bbl of produced water from production pad A to completions pad B on</t>
  </si>
  <si>
    <t>Tuesday, March 23). See Figure 1 for a process illustration.</t>
  </si>
  <si>
    <t>Note 1: None of this data is stored in the model permanently. The model and the data</t>
  </si>
  <si>
    <t xml:space="preserve">are intentionally kept separated within the optimization framework. </t>
  </si>
  <si>
    <t xml:space="preserve">Note 2: Data is assumed to be deterministic initially. Eventually, users will be able </t>
  </si>
  <si>
    <t>to specify which inputs are uncertain, and the framework will aim to determine</t>
  </si>
  <si>
    <t>"robustified" recommendations that are near-optimal across a range of uncertainty</t>
  </si>
  <si>
    <t xml:space="preserve">realizations (i.e., "stochastic optimization"). </t>
  </si>
  <si>
    <t>Data Input Tabs</t>
  </si>
  <si>
    <t>Description</t>
  </si>
  <si>
    <t>Production Pads</t>
  </si>
  <si>
    <t>List of all production pads to be considered</t>
  </si>
  <si>
    <t>Completion Pads</t>
  </si>
  <si>
    <t>List of all completion pads to be considered</t>
  </si>
  <si>
    <t>SWD Sites</t>
  </si>
  <si>
    <t>List of all disposal sites to be considered</t>
  </si>
  <si>
    <t>Drive Times</t>
  </si>
  <si>
    <t>Estimated drive times between locations</t>
  </si>
  <si>
    <t>Completions Demand</t>
  </si>
  <si>
    <t>Forecasted water demand at completions sites</t>
  </si>
  <si>
    <t>Flowback Rates</t>
  </si>
  <si>
    <t>Forecasted flowback rates (post-completions)</t>
  </si>
  <si>
    <t>Production Rates</t>
  </si>
  <si>
    <t>Forecated production rates (post-flowback)</t>
  </si>
  <si>
    <t>Disposal Capacity</t>
  </si>
  <si>
    <t>Forecasted disposal capacity</t>
  </si>
  <si>
    <t>Freshwater Costs</t>
  </si>
  <si>
    <t>Cost for sourcing freshwater for frac</t>
  </si>
  <si>
    <t>Reuse Costs</t>
  </si>
  <si>
    <t>Cost for FR/chemicals to reuse produced water</t>
  </si>
  <si>
    <t>Disposal Costs</t>
  </si>
  <si>
    <t>Cost for disposing produced water</t>
  </si>
  <si>
    <t>Hauling Rates</t>
  </si>
  <si>
    <t>Cost for hauling produced water via trucks</t>
  </si>
  <si>
    <t>Transfer Lines</t>
  </si>
  <si>
    <t>List of all existing water transfer lines</t>
  </si>
  <si>
    <t>Pipeline Expansion</t>
  </si>
  <si>
    <t>Cost for installing new transfer lines</t>
  </si>
  <si>
    <t>Units</t>
  </si>
  <si>
    <t>INDEX</t>
  </si>
  <si>
    <t>VALUE</t>
  </si>
  <si>
    <t>Unit Description</t>
  </si>
  <si>
    <t>Unit Relationships</t>
  </si>
  <si>
    <t>volume</t>
  </si>
  <si>
    <t>bbl</t>
  </si>
  <si>
    <t xml:space="preserve">Volume units are used to represent water flows (e.g. bbl/day), flow capacities, storage capacity, costs etc. </t>
  </si>
  <si>
    <t>=</t>
  </si>
  <si>
    <t>42 gallons</t>
  </si>
  <si>
    <t>kbbl</t>
  </si>
  <si>
    <t>1000 bbl</t>
  </si>
  <si>
    <t>distance</t>
  </si>
  <si>
    <t>mile</t>
  </si>
  <si>
    <t>Distance units are used for defining lengths of pipelines and pipeline expansion costs</t>
  </si>
  <si>
    <t>kmeter</t>
  </si>
  <si>
    <t>1000 m</t>
  </si>
  <si>
    <t>diameter</t>
  </si>
  <si>
    <t>inch</t>
  </si>
  <si>
    <t>This unit applies to diameter of pipelines and pipeline expansion costs</t>
  </si>
  <si>
    <t>concentration</t>
  </si>
  <si>
    <t>mg/liter</t>
  </si>
  <si>
    <t>Concentration unit defines water quality (e.g., TDS concentration)</t>
  </si>
  <si>
    <t>ppm</t>
  </si>
  <si>
    <t>currency</t>
  </si>
  <si>
    <t>USD</t>
  </si>
  <si>
    <t>Currency unit defines costs</t>
  </si>
  <si>
    <t>kUSD</t>
  </si>
  <si>
    <t>1000 USD</t>
  </si>
  <si>
    <t>time</t>
  </si>
  <si>
    <t>day</t>
  </si>
  <si>
    <t>Time units refers to input data relative to time (e.g., water flows in bbl/day)</t>
  </si>
  <si>
    <t>decision_period</t>
  </si>
  <si>
    <t>decision period</t>
  </si>
  <si>
    <t>week</t>
  </si>
  <si>
    <t>The decision period is the amount of time in a single decision period or discretization (e.g., T01 is 1 week)</t>
  </si>
  <si>
    <t>fortnight</t>
  </si>
  <si>
    <t>2 weeks</t>
  </si>
  <si>
    <t>month</t>
  </si>
  <si>
    <t>30.44 days</t>
  </si>
  <si>
    <t>foot</t>
  </si>
  <si>
    <t>cm</t>
  </si>
  <si>
    <t>kg/liter</t>
  </si>
  <si>
    <t>meter</t>
  </si>
  <si>
    <t>List of all Production Pad Identifiers [-]</t>
  </si>
  <si>
    <t>List of all Production Tank Identifiers [-]</t>
  </si>
  <si>
    <t>A01</t>
  </si>
  <si>
    <t>A02</t>
  </si>
  <si>
    <t>A03</t>
  </si>
  <si>
    <t>A04</t>
  </si>
  <si>
    <t>A05</t>
  </si>
  <si>
    <t>A06</t>
  </si>
  <si>
    <t>A07</t>
  </si>
  <si>
    <t>A08</t>
  </si>
  <si>
    <t>A09</t>
  </si>
  <si>
    <t>A10</t>
  </si>
  <si>
    <t>A11</t>
  </si>
  <si>
    <t>A12</t>
  </si>
  <si>
    <t>A13</t>
  </si>
  <si>
    <t>A14</t>
  </si>
  <si>
    <t>List of all Completion Pad Identifiers [-]</t>
  </si>
  <si>
    <t>List of all SWD Sites [-]</t>
  </si>
  <si>
    <t>F01</t>
  </si>
  <si>
    <t>F02</t>
  </si>
  <si>
    <t>List of all Storage Site Identifiers [-] | Note: These correspond with Clean Brine Treatment Facilities</t>
  </si>
  <si>
    <t>List of all Treatment Site Identifiers [-]</t>
  </si>
  <si>
    <t>CB</t>
  </si>
  <si>
    <t>CB-EV</t>
  </si>
  <si>
    <t>List of all Reuse Option Identifiers [-]</t>
  </si>
  <si>
    <t>List of all Network Node Identifiers [-]</t>
  </si>
  <si>
    <t>List of all Pipeline Diameter Identifiers [-]</t>
  </si>
  <si>
    <t>D0</t>
  </si>
  <si>
    <t>D4</t>
  </si>
  <si>
    <t>D6</t>
  </si>
  <si>
    <t>D8</t>
  </si>
  <si>
    <t>D12</t>
  </si>
  <si>
    <t>List of all Storage Capacity Identifiers [-]</t>
  </si>
  <si>
    <t>C0</t>
  </si>
  <si>
    <t>C1</t>
  </si>
  <si>
    <t>C2</t>
  </si>
  <si>
    <t>C3</t>
  </si>
  <si>
    <t>List of all Treatment Capacity Identifiers [-]</t>
  </si>
  <si>
    <t>J0</t>
  </si>
  <si>
    <t>J1</t>
  </si>
  <si>
    <t>J2</t>
  </si>
  <si>
    <t>J3</t>
  </si>
  <si>
    <t>List of all Injection Capacity Identifiers [-]</t>
  </si>
  <si>
    <t>I0</t>
  </si>
  <si>
    <t>I1</t>
  </si>
  <si>
    <t>I2</t>
  </si>
  <si>
    <t>I3</t>
  </si>
  <si>
    <t>Production Pads to Network Nodes Piping Arcs [-]</t>
  </si>
  <si>
    <t>ProductionPads</t>
  </si>
  <si>
    <t>Completions Pads to Network Nodes Piping Arcs [-]</t>
  </si>
  <si>
    <t>CompletionsPads</t>
  </si>
  <si>
    <t>Completions Pads to Completions Pads Piping Arcs [-]</t>
  </si>
  <si>
    <t>Network Nodes to Network Nodes Piping Arcs [-]</t>
  </si>
  <si>
    <t>NetworkNodes</t>
  </si>
  <si>
    <t>Network Nodes to Completions Pads Piping Arcs [-]</t>
  </si>
  <si>
    <t>Network Nodes to Disposal Sites Piping Arcs [-]</t>
  </si>
  <si>
    <t>Network Nodes to Treatment Sites Piping Arcs [-]</t>
  </si>
  <si>
    <t>Network Nodes to Storage Sites Piping Arcs [-]</t>
  </si>
  <si>
    <t>Storage Sites to Network Nodes Piping Arcs [-]</t>
  </si>
  <si>
    <t>TreatmentSites</t>
  </si>
  <si>
    <t>Storage Sites to Completions Piping Arcs [-]</t>
  </si>
  <si>
    <t>StorageSites</t>
  </si>
  <si>
    <t>Production Pads to Completions Pads Trucking Arcs [-]</t>
  </si>
  <si>
    <t>Production Pads to Disposal Sites Trucking Arcs [-]</t>
  </si>
  <si>
    <t>Completions Pads to Disposal Sites Trucking Arcs [-]</t>
  </si>
  <si>
    <t>Completions Pads to Completions Pads Trucking Arcs [-]</t>
  </si>
  <si>
    <t>Completions Pads to Storage Sites Trucking Arcs [-]</t>
  </si>
  <si>
    <t>T01</t>
  </si>
  <si>
    <t>T02</t>
  </si>
  <si>
    <t>T03</t>
  </si>
  <si>
    <t>T04</t>
  </si>
  <si>
    <t>T05</t>
  </si>
  <si>
    <t>T06</t>
  </si>
  <si>
    <t>T07</t>
  </si>
  <si>
    <t>T08</t>
  </si>
  <si>
    <t>T09</t>
  </si>
  <si>
    <t>T10</t>
  </si>
  <si>
    <t>T11</t>
  </si>
  <si>
    <t>T12</t>
  </si>
  <si>
    <t>T13</t>
  </si>
  <si>
    <t>T14</t>
  </si>
  <si>
    <t>T15</t>
  </si>
  <si>
    <t>T16</t>
  </si>
  <si>
    <t>T17</t>
  </si>
  <si>
    <t>T18</t>
  </si>
  <si>
    <t>T19</t>
  </si>
  <si>
    <t>T20</t>
  </si>
  <si>
    <t>T21</t>
  </si>
  <si>
    <t>T22</t>
  </si>
  <si>
    <t>T23</t>
  </si>
  <si>
    <t>T24</t>
  </si>
  <si>
    <t>T25</t>
  </si>
  <si>
    <t>T26</t>
  </si>
  <si>
    <t>T27</t>
  </si>
  <si>
    <t>T28</t>
  </si>
  <si>
    <t>T29</t>
  </si>
  <si>
    <t>T30</t>
  </si>
  <si>
    <t>T31</t>
  </si>
  <si>
    <t>T32</t>
  </si>
  <si>
    <t>T33</t>
  </si>
  <si>
    <t>T34</t>
  </si>
  <si>
    <t>T35</t>
  </si>
  <si>
    <t>T36</t>
  </si>
  <si>
    <t>T37</t>
  </si>
  <si>
    <t>T38</t>
  </si>
  <si>
    <t>T39</t>
  </si>
  <si>
    <t>T40</t>
  </si>
  <si>
    <t>T41</t>
  </si>
  <si>
    <t>T42</t>
  </si>
  <si>
    <t>T43</t>
  </si>
  <si>
    <t>T44</t>
  </si>
  <si>
    <t>T45</t>
  </si>
  <si>
    <t>T46</t>
  </si>
  <si>
    <t>T47</t>
  </si>
  <si>
    <t>T48</t>
  </si>
  <si>
    <t>T49</t>
  </si>
  <si>
    <t>T50</t>
  </si>
  <si>
    <t>T51</t>
  </si>
  <si>
    <t>T52</t>
  </si>
  <si>
    <t>NODES</t>
  </si>
  <si>
    <t>SWDSites</t>
  </si>
  <si>
    <t>Table of Drive Times between Sites [hours]</t>
  </si>
  <si>
    <t>TreatmentTechnologies</t>
  </si>
  <si>
    <t>PipelineDiameters</t>
  </si>
  <si>
    <t>InjectionCapacities</t>
  </si>
  <si>
    <t>StorageCapacities</t>
  </si>
  <si>
    <t>TreatmentCapacities</t>
  </si>
  <si>
    <t>Table of Treatment Efficiency [%]</t>
  </si>
  <si>
    <t>TDS</t>
  </si>
  <si>
    <t>value</t>
  </si>
  <si>
    <t>pipeline_expansion_cost</t>
  </si>
  <si>
    <t>Hydraulic Settings</t>
  </si>
  <si>
    <t>roughness</t>
  </si>
  <si>
    <t>max_head_loss</t>
  </si>
  <si>
    <t>Economic Settings</t>
  </si>
  <si>
    <t>discount_rate</t>
  </si>
  <si>
    <t>CAPEX_lifetime</t>
  </si>
  <si>
    <t>Pads</t>
  </si>
  <si>
    <t xml:space="preserve">Multiplier </t>
  </si>
  <si>
    <t xml:space="preserve"> </t>
  </si>
  <si>
    <t>Table with Indication if the treatment site is for desalination technologies (1) or non-desalination technologies (0)</t>
  </si>
  <si>
    <t>Table with indication if the completions pad is outside of the system</t>
  </si>
  <si>
    <t>Table with indication if the treatment technology is for desalination</t>
  </si>
  <si>
    <t>MVC</t>
  </si>
  <si>
    <t>MD</t>
  </si>
  <si>
    <t>Table of Removal Efficiency [%]. Note: The removal efficiency of a component can be estimated based on its concentration or its total load (flow times concentration). The default method for calculating removal efficacy is concentration-based. This configuration option is set prior to running the optimization. Refer to 'Water Treatment' in Model Library documentation.</t>
  </si>
  <si>
    <t>pressure</t>
  </si>
  <si>
    <t>psi</t>
  </si>
  <si>
    <t>Pressure units when using the hydraulics module</t>
  </si>
  <si>
    <t>6895 Pa</t>
  </si>
  <si>
    <t>pascal</t>
  </si>
  <si>
    <t>elevation</t>
  </si>
  <si>
    <t>Elevation of a network node (including all sites)</t>
  </si>
  <si>
    <t>Elevation Data in ft</t>
  </si>
  <si>
    <t>Flow-pressure assumption</t>
  </si>
  <si>
    <t>150 psi for 15000 bbl/day and 15 psi for 1500 bbl/day</t>
  </si>
  <si>
    <t>Flow multiplier</t>
  </si>
  <si>
    <t>Table of Initial Pipeline Diameters between Sites [inch]</t>
  </si>
  <si>
    <t>min_allowable_pressure</t>
  </si>
  <si>
    <t>max_allowable_pressure</t>
  </si>
  <si>
    <t>Table of Production Rate Forecasts by Pads [bbl/day]</t>
  </si>
  <si>
    <t>Network Nodes to Beneficial Reuse Piping Arcs [-]</t>
  </si>
  <si>
    <t>Storage Sites to Beneficial Reuse Piping Arcs [-]</t>
  </si>
  <si>
    <t>Treatment Sites to Storage Sites Piping Arcs (1 denotes an arc for the treated stream and 2 denotes an arc for the residual stream) [-]</t>
  </si>
  <si>
    <t>Treatment Sites to Beneficial Reuse Piping Arcs (1 denotes an arc for the treated stream and 2 denotes an arc for the residual stream) [-]</t>
  </si>
  <si>
    <t>Treatment Sites to Storage Sites Trucking Arcs (1 denotes an arc for the treated stream and 2 denotes an arc for the residual stream) [-]</t>
  </si>
  <si>
    <t>Treatment Sites to Beneficial Reuse Trucking Arcs (1 denotes an arc for the treated stream and 2 denotes an arc for the residual stream) [-]</t>
  </si>
  <si>
    <t>Storage Sites to Beneficial Reuse Trucking Arcs [-]</t>
  </si>
  <si>
    <t>ReuseOptions</t>
  </si>
  <si>
    <t>Treatment Sites to Completions Sites Piping Arcs (1 denotes an arc for the treated stream and 2 denotes an arc for the residual stream) [-]</t>
  </si>
  <si>
    <t>Treatment Sites to Network Nodes Piping Arcs (1 denotes an arc for the treated stream and 2 denotes an arc for the residual stream) [-]</t>
  </si>
  <si>
    <t>pipeline_expansion_lead_time</t>
  </si>
  <si>
    <t>Treatment Sites to Disposal Piping Arcs (1 denotes an arc for the treated stream and 2 denotes an arc for the residual stream) [-]</t>
  </si>
  <si>
    <t>Treatment Sites to Disposal Trucking Arcs (1 denotes an arc for the treated stream and 2 denotes an arc for the residual stream) [-]</t>
  </si>
  <si>
    <t>Table with processing cost for sending water to beneficial reuse [USD/bbl]</t>
  </si>
  <si>
    <t>SWDs - shallow (0) or deep (1)</t>
  </si>
  <si>
    <t>Average pressure/depth in vicinity of well [psi/ft]</t>
  </si>
  <si>
    <t>Table of SWD proximity to P&amp;A'd well [miles]</t>
  </si>
  <si>
    <t>Table of SWD proximity to inactive/temporarily abandoned formerly producing well (completed prior to 2000) [miles]</t>
  </si>
  <si>
    <t>Table of SWD proximity to earthquakes &gt;= 3.0 magnitude [miles]</t>
  </si>
  <si>
    <t>Table of SWD proximity to high pressure or low pressure injection well [miles]</t>
  </si>
  <si>
    <t>Table of SWD proximity to fault [miles]</t>
  </si>
  <si>
    <t>CO2</t>
  </si>
  <si>
    <t>NH3</t>
  </si>
  <si>
    <t>NOx</t>
  </si>
  <si>
    <t>SO2</t>
  </si>
  <si>
    <t>PM 2.5</t>
  </si>
  <si>
    <t>OARO</t>
  </si>
  <si>
    <t>SWD risk factors</t>
  </si>
  <si>
    <t>orphan_well_distance_risk_factor</t>
  </si>
  <si>
    <t>orphan_well_severity_risk_factor</t>
  </si>
  <si>
    <t>inactive_well_distance_risk_factor</t>
  </si>
  <si>
    <t>inactive_well_severity_risk_factor</t>
  </si>
  <si>
    <t>EQ_distance_risk_factor</t>
  </si>
  <si>
    <t>EQ_severity_risk_factor</t>
  </si>
  <si>
    <t>fault_distance_risk_factor</t>
  </si>
  <si>
    <t>fault_severity_risk_factor</t>
  </si>
  <si>
    <t>HP_LP_distance_risk_factor</t>
  </si>
  <si>
    <t>HP_LP_severity_risk_factor</t>
  </si>
  <si>
    <t>HP_threshold</t>
  </si>
  <si>
    <t>psi/ft</t>
  </si>
  <si>
    <t>LP_threshold</t>
  </si>
  <si>
    <t>Trucking [g/hour]</t>
  </si>
  <si>
    <t>Pipeline Operations [g/(bbl*mile)]</t>
  </si>
  <si>
    <t>Pipeline Installation [g/mile]</t>
  </si>
  <si>
    <t>Disposal [g/bbl]</t>
  </si>
  <si>
    <t>Storage [g/(bbl*week)]</t>
  </si>
  <si>
    <t>Table of Air Emissions Coefficients for Treatment Technologies [g/bbl]</t>
  </si>
  <si>
    <t>List of all External Water Source Identifiers [-]</t>
  </si>
  <si>
    <t>ExternalWaterSources</t>
  </si>
  <si>
    <t>External Water Sources to Completions Pads Piping Arcs [-]</t>
  </si>
  <si>
    <t>External Water Sources to Completions Pads Trucking Arcs [-]</t>
  </si>
  <si>
    <t>List of all Water Quality Components [-]</t>
  </si>
  <si>
    <t>List of all Air Emissions Components [-]</t>
  </si>
  <si>
    <t>1000g</t>
  </si>
  <si>
    <t>kg</t>
  </si>
  <si>
    <t>Mass units is used for measuring emissions coefficients (e.g. 10g per treated produced water bbl).</t>
  </si>
  <si>
    <t>g</t>
  </si>
  <si>
    <t>mass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</si>
</sst>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(* #,##0.00_);_(* \(#,##0.00\);_(* &quot;-&quot;??_);_(@_)"/>
    <numFmt numFmtId="164" formatCode="0.0"/>
    <numFmt numFmtId="165" formatCode="_(* #,##0_);_(* \(#,##0\);_(* &quot;-&quot;??_);_(@_)"/>
  </numFmts>
  <fonts count="10" x14ac:knownFonts="1">
    <font>
      <sz val="11"/>
      <color theme="1"/>
      <name val="Calibri"/>
      <family val="2"/>
      <scheme val="minor"/>
    </font>
    <font>
      <sz val="12"/>
      <color theme="1"/>
      <name val="Times New Roman"/>
      <family val="1"/>
    </font>
    <font>
      <sz val="8"/>
      <name val="Calibri"/>
      <family val="2"/>
      <scheme val="minor"/>
    </font>
    <font>
      <b/>
      <sz val="12"/>
      <color theme="1"/>
      <name val="Times New Roman"/>
      <family val="1"/>
    </font>
    <font>
      <b/>
      <sz val="11"/>
      <color theme="1"/>
      <name val="Calibri"/>
      <family val="2"/>
      <scheme val="minor"/>
    </font>
    <font>
      <u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i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2"/>
      <color rgb="FF000000"/>
      <name val="Times New Roman"/>
      <family val="1"/>
    </font>
  </fonts>
  <fills count="5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0" tint="-4.9989318521683403E-2"/>
        <bgColor indexed="64"/>
      </patternFill>
    </fill>
  </fills>
  <borders count="31">
    <border>
      <left/>
      <right/>
      <top/>
      <bottom/>
      <diagonal/>
    </border>
    <border>
      <left/>
      <right style="medium">
        <color indexed="64"/>
      </right>
      <top/>
      <bottom/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</borders>
  <cellStyleXfs count="3">
    <xf numFmtId="0" fontId="0" fillId="0" borderId="0"/>
    <xf numFmtId="0" fontId="6" fillId="0" borderId="0" applyNumberFormat="0" applyFill="0" applyBorder="0" applyAlignment="0" applyProtection="0"/>
    <xf numFmtId="43" fontId="8" fillId="0" borderId="0" applyFont="0" applyFill="0" applyBorder="0" applyAlignment="0" applyProtection="0"/>
  </cellStyleXfs>
  <cellXfs count="82">
    <xf numFmtId="0" fontId="0" fillId="0" borderId="0" xfId="0"/>
    <xf numFmtId="0" fontId="1" fillId="0" borderId="0" xfId="0" applyFont="1"/>
    <xf numFmtId="0" fontId="3" fillId="2" borderId="0" xfId="0" applyFont="1" applyFill="1"/>
    <xf numFmtId="0" fontId="3" fillId="3" borderId="6" xfId="0" applyFont="1" applyFill="1" applyBorder="1" applyAlignment="1">
      <alignment horizontal="center"/>
    </xf>
    <xf numFmtId="0" fontId="1" fillId="0" borderId="0" xfId="0" applyFont="1" applyAlignment="1">
      <alignment horizontal="center"/>
    </xf>
    <xf numFmtId="0" fontId="3" fillId="0" borderId="0" xfId="0" applyFont="1"/>
    <xf numFmtId="0" fontId="3" fillId="0" borderId="0" xfId="0" applyFont="1" applyAlignment="1">
      <alignment horizontal="center"/>
    </xf>
    <xf numFmtId="0" fontId="0" fillId="3" borderId="7" xfId="0" applyFill="1" applyBorder="1"/>
    <xf numFmtId="0" fontId="0" fillId="3" borderId="8" xfId="0" applyFill="1" applyBorder="1"/>
    <xf numFmtId="0" fontId="0" fillId="3" borderId="9" xfId="0" applyFill="1" applyBorder="1"/>
    <xf numFmtId="0" fontId="0" fillId="3" borderId="10" xfId="0" applyFill="1" applyBorder="1"/>
    <xf numFmtId="0" fontId="4" fillId="3" borderId="0" xfId="0" applyFont="1" applyFill="1"/>
    <xf numFmtId="0" fontId="0" fillId="3" borderId="0" xfId="0" applyFill="1"/>
    <xf numFmtId="0" fontId="0" fillId="3" borderId="1" xfId="0" applyFill="1" applyBorder="1"/>
    <xf numFmtId="0" fontId="5" fillId="3" borderId="0" xfId="0" applyFont="1" applyFill="1"/>
    <xf numFmtId="0" fontId="6" fillId="3" borderId="0" xfId="1" applyFill="1" applyBorder="1"/>
    <xf numFmtId="0" fontId="0" fillId="3" borderId="11" xfId="0" applyFill="1" applyBorder="1"/>
    <xf numFmtId="0" fontId="0" fillId="3" borderId="2" xfId="0" applyFill="1" applyBorder="1"/>
    <xf numFmtId="0" fontId="0" fillId="3" borderId="3" xfId="0" applyFill="1" applyBorder="1"/>
    <xf numFmtId="0" fontId="7" fillId="0" borderId="0" xfId="0" applyFont="1"/>
    <xf numFmtId="0" fontId="3" fillId="3" borderId="12" xfId="0" applyFont="1" applyFill="1" applyBorder="1" applyAlignment="1">
      <alignment horizontal="center"/>
    </xf>
    <xf numFmtId="0" fontId="3" fillId="3" borderId="4" xfId="0" applyFont="1" applyFill="1" applyBorder="1" applyAlignment="1">
      <alignment horizontal="center"/>
    </xf>
    <xf numFmtId="0" fontId="3" fillId="3" borderId="5" xfId="0" applyFont="1" applyFill="1" applyBorder="1" applyAlignment="1">
      <alignment horizontal="center"/>
    </xf>
    <xf numFmtId="0" fontId="1" fillId="0" borderId="0" xfId="0" applyFont="1" applyAlignment="1">
      <alignment horizontal="left"/>
    </xf>
    <xf numFmtId="0" fontId="3" fillId="3" borderId="0" xfId="0" applyFont="1" applyFill="1" applyAlignment="1">
      <alignment horizontal="center"/>
    </xf>
    <xf numFmtId="3" fontId="1" fillId="3" borderId="1" xfId="0" applyNumberFormat="1" applyFont="1" applyFill="1" applyBorder="1" applyAlignment="1">
      <alignment horizontal="center"/>
    </xf>
    <xf numFmtId="3" fontId="1" fillId="3" borderId="3" xfId="0" applyNumberFormat="1" applyFont="1" applyFill="1" applyBorder="1" applyAlignment="1">
      <alignment horizontal="center"/>
    </xf>
    <xf numFmtId="0" fontId="4" fillId="0" borderId="0" xfId="0" applyFont="1"/>
    <xf numFmtId="0" fontId="5" fillId="0" borderId="0" xfId="0" applyFont="1"/>
    <xf numFmtId="0" fontId="6" fillId="0" borderId="0" xfId="1" applyFill="1" applyBorder="1"/>
    <xf numFmtId="4" fontId="1" fillId="3" borderId="1" xfId="0" applyNumberFormat="1" applyFont="1" applyFill="1" applyBorder="1" applyAlignment="1">
      <alignment horizontal="center"/>
    </xf>
    <xf numFmtId="3" fontId="1" fillId="0" borderId="0" xfId="0" applyNumberFormat="1" applyFont="1"/>
    <xf numFmtId="43" fontId="1" fillId="0" borderId="0" xfId="2" applyFont="1"/>
    <xf numFmtId="0" fontId="1" fillId="4" borderId="0" xfId="0" applyFont="1" applyFill="1" applyAlignment="1">
      <alignment horizontal="center"/>
    </xf>
    <xf numFmtId="0" fontId="1" fillId="4" borderId="0" xfId="0" applyFont="1" applyFill="1"/>
    <xf numFmtId="0" fontId="1" fillId="4" borderId="13" xfId="0" applyFont="1" applyFill="1" applyBorder="1" applyAlignment="1">
      <alignment horizontal="center"/>
    </xf>
    <xf numFmtId="0" fontId="1" fillId="4" borderId="13" xfId="0" applyFont="1" applyFill="1" applyBorder="1"/>
    <xf numFmtId="0" fontId="1" fillId="4" borderId="14" xfId="0" applyFont="1" applyFill="1" applyBorder="1" applyAlignment="1">
      <alignment horizontal="center"/>
    </xf>
    <xf numFmtId="0" fontId="1" fillId="4" borderId="14" xfId="0" applyFont="1" applyFill="1" applyBorder="1"/>
    <xf numFmtId="0" fontId="1" fillId="4" borderId="16" xfId="0" applyFont="1" applyFill="1" applyBorder="1" applyAlignment="1">
      <alignment horizontal="center"/>
    </xf>
    <xf numFmtId="0" fontId="1" fillId="4" borderId="0" xfId="0" quotePrefix="1" applyFont="1" applyFill="1" applyAlignment="1">
      <alignment horizontal="center"/>
    </xf>
    <xf numFmtId="0" fontId="1" fillId="4" borderId="16" xfId="0" applyFont="1" applyFill="1" applyBorder="1"/>
    <xf numFmtId="0" fontId="1" fillId="4" borderId="19" xfId="0" applyFont="1" applyFill="1" applyBorder="1"/>
    <xf numFmtId="0" fontId="1" fillId="4" borderId="22" xfId="0" applyFont="1" applyFill="1" applyBorder="1" applyAlignment="1">
      <alignment horizontal="center"/>
    </xf>
    <xf numFmtId="0" fontId="1" fillId="4" borderId="15" xfId="0" applyFont="1" applyFill="1" applyBorder="1" applyAlignment="1">
      <alignment horizontal="center"/>
    </xf>
    <xf numFmtId="0" fontId="1" fillId="4" borderId="23" xfId="0" applyFont="1" applyFill="1" applyBorder="1" applyAlignment="1">
      <alignment horizontal="center"/>
    </xf>
    <xf numFmtId="0" fontId="1" fillId="4" borderId="17" xfId="0" applyFont="1" applyFill="1" applyBorder="1" applyAlignment="1">
      <alignment horizontal="center"/>
    </xf>
    <xf numFmtId="0" fontId="1" fillId="4" borderId="18" xfId="0" quotePrefix="1" applyFont="1" applyFill="1" applyBorder="1" applyAlignment="1">
      <alignment horizontal="center"/>
    </xf>
    <xf numFmtId="0" fontId="1" fillId="4" borderId="20" xfId="0" applyFont="1" applyFill="1" applyBorder="1" applyAlignment="1">
      <alignment horizontal="center"/>
    </xf>
    <xf numFmtId="0" fontId="1" fillId="4" borderId="18" xfId="0" applyFont="1" applyFill="1" applyBorder="1" applyAlignment="1">
      <alignment horizontal="center"/>
    </xf>
    <xf numFmtId="0" fontId="3" fillId="4" borderId="15" xfId="0" applyFont="1" applyFill="1" applyBorder="1" applyAlignment="1">
      <alignment horizontal="left"/>
    </xf>
    <xf numFmtId="0" fontId="3" fillId="4" borderId="21" xfId="0" applyFont="1" applyFill="1" applyBorder="1" applyAlignment="1">
      <alignment horizontal="left"/>
    </xf>
    <xf numFmtId="165" fontId="1" fillId="0" borderId="0" xfId="2" applyNumberFormat="1" applyFont="1"/>
    <xf numFmtId="165" fontId="1" fillId="0" borderId="0" xfId="2" applyNumberFormat="1" applyFont="1" applyAlignment="1">
      <alignment horizontal="center"/>
    </xf>
    <xf numFmtId="3" fontId="1" fillId="0" borderId="0" xfId="0" applyNumberFormat="1" applyFont="1" applyAlignment="1">
      <alignment horizontal="center"/>
    </xf>
    <xf numFmtId="0" fontId="3" fillId="0" borderId="18" xfId="0" applyFont="1" applyBorder="1" applyAlignment="1">
      <alignment horizontal="center"/>
    </xf>
    <xf numFmtId="0" fontId="3" fillId="0" borderId="4" xfId="0" applyFont="1" applyBorder="1" applyAlignment="1">
      <alignment horizontal="center"/>
    </xf>
    <xf numFmtId="4" fontId="1" fillId="3" borderId="3" xfId="0" applyNumberFormat="1" applyFont="1" applyFill="1" applyBorder="1" applyAlignment="1">
      <alignment horizontal="center"/>
    </xf>
    <xf numFmtId="43" fontId="1" fillId="0" borderId="0" xfId="2" applyFont="1" applyFill="1" applyBorder="1" applyAlignment="1">
      <alignment horizontal="center"/>
    </xf>
    <xf numFmtId="164" fontId="1" fillId="0" borderId="0" xfId="0" applyNumberFormat="1" applyFont="1" applyAlignment="1">
      <alignment horizontal="center"/>
    </xf>
    <xf numFmtId="3" fontId="3" fillId="0" borderId="0" xfId="0" applyNumberFormat="1" applyFont="1" applyAlignment="1">
      <alignment horizontal="center"/>
    </xf>
    <xf numFmtId="3" fontId="9" fillId="0" borderId="0" xfId="0" applyNumberFormat="1" applyFont="1" applyAlignment="1">
      <alignment horizontal="center"/>
    </xf>
    <xf numFmtId="0" fontId="3" fillId="3" borderId="12" xfId="0" applyFont="1" applyFill="1" applyBorder="1" applyAlignment="1">
      <alignment horizontal="center" wrapText="1"/>
    </xf>
    <xf numFmtId="0" fontId="3" fillId="3" borderId="24" xfId="0" applyFont="1" applyFill="1" applyBorder="1" applyAlignment="1">
      <alignment horizontal="center"/>
    </xf>
    <xf numFmtId="0" fontId="3" fillId="3" borderId="25" xfId="0" applyFont="1" applyFill="1" applyBorder="1" applyAlignment="1">
      <alignment horizontal="center"/>
    </xf>
    <xf numFmtId="0" fontId="3" fillId="3" borderId="26" xfId="0" applyFont="1" applyFill="1" applyBorder="1" applyAlignment="1">
      <alignment horizontal="center"/>
    </xf>
    <xf numFmtId="0" fontId="3" fillId="3" borderId="10" xfId="0" applyFont="1" applyFill="1" applyBorder="1" applyAlignment="1">
      <alignment horizontal="center"/>
    </xf>
    <xf numFmtId="0" fontId="1" fillId="3" borderId="14" xfId="0" applyFont="1" applyFill="1" applyBorder="1" applyAlignment="1">
      <alignment horizontal="center"/>
    </xf>
    <xf numFmtId="0" fontId="1" fillId="3" borderId="27" xfId="0" applyFont="1" applyFill="1" applyBorder="1" applyAlignment="1">
      <alignment horizontal="center"/>
    </xf>
    <xf numFmtId="0" fontId="3" fillId="3" borderId="11" xfId="0" applyFont="1" applyFill="1" applyBorder="1" applyAlignment="1">
      <alignment horizontal="center"/>
    </xf>
    <xf numFmtId="0" fontId="1" fillId="3" borderId="28" xfId="0" applyFont="1" applyFill="1" applyBorder="1" applyAlignment="1">
      <alignment horizontal="center"/>
    </xf>
    <xf numFmtId="0" fontId="1" fillId="3" borderId="29" xfId="0" applyFont="1" applyFill="1" applyBorder="1" applyAlignment="1">
      <alignment horizontal="center"/>
    </xf>
    <xf numFmtId="0" fontId="3" fillId="3" borderId="30" xfId="0" applyFont="1" applyFill="1" applyBorder="1" applyAlignment="1">
      <alignment horizontal="center"/>
    </xf>
    <xf numFmtId="2" fontId="1" fillId="0" borderId="0" xfId="0" applyNumberFormat="1" applyFont="1" applyAlignment="1">
      <alignment horizontal="left"/>
    </xf>
    <xf numFmtId="2" fontId="1" fillId="0" borderId="0" xfId="0" applyNumberFormat="1" applyFont="1"/>
    <xf numFmtId="2" fontId="3" fillId="3" borderId="6" xfId="0" applyNumberFormat="1" applyFont="1" applyFill="1" applyBorder="1" applyAlignment="1">
      <alignment horizontal="center"/>
    </xf>
    <xf numFmtId="2" fontId="3" fillId="3" borderId="12" xfId="0" applyNumberFormat="1" applyFont="1" applyFill="1" applyBorder="1" applyAlignment="1">
      <alignment horizontal="center"/>
    </xf>
    <xf numFmtId="2" fontId="3" fillId="3" borderId="4" xfId="0" applyNumberFormat="1" applyFont="1" applyFill="1" applyBorder="1" applyAlignment="1">
      <alignment horizontal="center"/>
    </xf>
    <xf numFmtId="2" fontId="1" fillId="3" borderId="1" xfId="0" applyNumberFormat="1" applyFont="1" applyFill="1" applyBorder="1" applyAlignment="1">
      <alignment horizontal="center"/>
    </xf>
    <xf numFmtId="2" fontId="3" fillId="3" borderId="5" xfId="0" applyNumberFormat="1" applyFont="1" applyFill="1" applyBorder="1" applyAlignment="1">
      <alignment horizontal="center"/>
    </xf>
    <xf numFmtId="2" fontId="1" fillId="3" borderId="3" xfId="0" applyNumberFormat="1" applyFont="1" applyFill="1" applyBorder="1" applyAlignment="1">
      <alignment horizontal="center"/>
    </xf>
    <xf numFmtId="0" fontId="1" fillId="0" borderId="0" xfId="2" applyNumberFormat="1" applyFont="1" applyFill="1" applyBorder="1" applyAlignment="1">
      <alignment horizontal="center"/>
    </xf>
  </cellXfs>
  <cellStyles count="3">
    <cellStyle name="Comma" xfId="2" builtinId="3"/>
    <cellStyle name="Hyperlink" xfId="1" builtinId="8"/>
    <cellStyle name="Normal" xfId="0" builtinId="0"/>
  </cellStyles>
  <dxfs count="0"/>
  <tableStyles count="0" defaultTableStyle="TableStyleMedium2" defaultPivotStyle="PivotStyleLight16"/>
  <colors>
    <mruColors>
      <color rgb="FFAFF3DE"/>
      <color rgb="FFF5ADAD"/>
      <color rgb="FFD9C6FE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26" Type="http://schemas.openxmlformats.org/officeDocument/2006/relationships/worksheet" Target="worksheets/sheet26.xml"/><Relationship Id="rId21" Type="http://schemas.openxmlformats.org/officeDocument/2006/relationships/worksheet" Target="worksheets/sheet21.xml"/><Relationship Id="rId42" Type="http://schemas.openxmlformats.org/officeDocument/2006/relationships/worksheet" Target="worksheets/sheet42.xml"/><Relationship Id="rId47" Type="http://schemas.openxmlformats.org/officeDocument/2006/relationships/worksheet" Target="worksheets/sheet47.xml"/><Relationship Id="rId63" Type="http://schemas.openxmlformats.org/officeDocument/2006/relationships/worksheet" Target="worksheets/sheet63.xml"/><Relationship Id="rId68" Type="http://schemas.openxmlformats.org/officeDocument/2006/relationships/worksheet" Target="worksheets/sheet68.xml"/><Relationship Id="rId84" Type="http://schemas.openxmlformats.org/officeDocument/2006/relationships/worksheet" Target="worksheets/sheet84.xml"/><Relationship Id="rId89" Type="http://schemas.openxmlformats.org/officeDocument/2006/relationships/worksheet" Target="worksheets/sheet89.xml"/><Relationship Id="rId112" Type="http://schemas.openxmlformats.org/officeDocument/2006/relationships/styles" Target="styles.xml"/><Relationship Id="rId16" Type="http://schemas.openxmlformats.org/officeDocument/2006/relationships/worksheet" Target="worksheets/sheet16.xml"/><Relationship Id="rId107" Type="http://schemas.openxmlformats.org/officeDocument/2006/relationships/worksheet" Target="worksheets/sheet107.xml"/><Relationship Id="rId11" Type="http://schemas.openxmlformats.org/officeDocument/2006/relationships/worksheet" Target="worksheets/sheet11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53" Type="http://schemas.openxmlformats.org/officeDocument/2006/relationships/worksheet" Target="worksheets/sheet53.xml"/><Relationship Id="rId58" Type="http://schemas.openxmlformats.org/officeDocument/2006/relationships/worksheet" Target="worksheets/sheet58.xml"/><Relationship Id="rId74" Type="http://schemas.openxmlformats.org/officeDocument/2006/relationships/worksheet" Target="worksheets/sheet74.xml"/><Relationship Id="rId79" Type="http://schemas.openxmlformats.org/officeDocument/2006/relationships/worksheet" Target="worksheets/sheet79.xml"/><Relationship Id="rId102" Type="http://schemas.openxmlformats.org/officeDocument/2006/relationships/worksheet" Target="worksheets/sheet102.xml"/><Relationship Id="rId5" Type="http://schemas.openxmlformats.org/officeDocument/2006/relationships/worksheet" Target="worksheets/sheet5.xml"/><Relationship Id="rId90" Type="http://schemas.openxmlformats.org/officeDocument/2006/relationships/worksheet" Target="worksheets/sheet90.xml"/><Relationship Id="rId95" Type="http://schemas.openxmlformats.org/officeDocument/2006/relationships/worksheet" Target="worksheets/sheet95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43" Type="http://schemas.openxmlformats.org/officeDocument/2006/relationships/worksheet" Target="worksheets/sheet43.xml"/><Relationship Id="rId48" Type="http://schemas.openxmlformats.org/officeDocument/2006/relationships/worksheet" Target="worksheets/sheet48.xml"/><Relationship Id="rId64" Type="http://schemas.openxmlformats.org/officeDocument/2006/relationships/worksheet" Target="worksheets/sheet64.xml"/><Relationship Id="rId69" Type="http://schemas.openxmlformats.org/officeDocument/2006/relationships/worksheet" Target="worksheets/sheet69.xml"/><Relationship Id="rId113" Type="http://schemas.openxmlformats.org/officeDocument/2006/relationships/sharedStrings" Target="sharedStrings.xml"/><Relationship Id="rId80" Type="http://schemas.openxmlformats.org/officeDocument/2006/relationships/worksheet" Target="worksheets/sheet80.xml"/><Relationship Id="rId85" Type="http://schemas.openxmlformats.org/officeDocument/2006/relationships/worksheet" Target="worksheets/sheet85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59" Type="http://schemas.openxmlformats.org/officeDocument/2006/relationships/worksheet" Target="worksheets/sheet59.xml"/><Relationship Id="rId103" Type="http://schemas.openxmlformats.org/officeDocument/2006/relationships/worksheet" Target="worksheets/sheet103.xml"/><Relationship Id="rId108" Type="http://schemas.openxmlformats.org/officeDocument/2006/relationships/worksheet" Target="worksheets/sheet108.xml"/><Relationship Id="rId54" Type="http://schemas.openxmlformats.org/officeDocument/2006/relationships/worksheet" Target="worksheets/sheet54.xml"/><Relationship Id="rId70" Type="http://schemas.openxmlformats.org/officeDocument/2006/relationships/worksheet" Target="worksheets/sheet70.xml"/><Relationship Id="rId75" Type="http://schemas.openxmlformats.org/officeDocument/2006/relationships/worksheet" Target="worksheets/sheet75.xml"/><Relationship Id="rId91" Type="http://schemas.openxmlformats.org/officeDocument/2006/relationships/worksheet" Target="worksheets/sheet91.xml"/><Relationship Id="rId96" Type="http://schemas.openxmlformats.org/officeDocument/2006/relationships/worksheet" Target="worksheets/sheet96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49" Type="http://schemas.openxmlformats.org/officeDocument/2006/relationships/worksheet" Target="worksheets/sheet49.xml"/><Relationship Id="rId57" Type="http://schemas.openxmlformats.org/officeDocument/2006/relationships/worksheet" Target="worksheets/sheet57.xml"/><Relationship Id="rId106" Type="http://schemas.openxmlformats.org/officeDocument/2006/relationships/worksheet" Target="worksheets/sheet106.xml"/><Relationship Id="rId114" Type="http://schemas.openxmlformats.org/officeDocument/2006/relationships/calcChain" Target="calcChain.xml"/><Relationship Id="rId10" Type="http://schemas.openxmlformats.org/officeDocument/2006/relationships/worksheet" Target="worksheets/sheet10.xml"/><Relationship Id="rId31" Type="http://schemas.openxmlformats.org/officeDocument/2006/relationships/worksheet" Target="worksheets/sheet31.xml"/><Relationship Id="rId44" Type="http://schemas.openxmlformats.org/officeDocument/2006/relationships/worksheet" Target="worksheets/sheet44.xml"/><Relationship Id="rId52" Type="http://schemas.openxmlformats.org/officeDocument/2006/relationships/worksheet" Target="worksheets/sheet52.xml"/><Relationship Id="rId60" Type="http://schemas.openxmlformats.org/officeDocument/2006/relationships/worksheet" Target="worksheets/sheet60.xml"/><Relationship Id="rId65" Type="http://schemas.openxmlformats.org/officeDocument/2006/relationships/worksheet" Target="worksheets/sheet65.xml"/><Relationship Id="rId73" Type="http://schemas.openxmlformats.org/officeDocument/2006/relationships/worksheet" Target="worksheets/sheet73.xml"/><Relationship Id="rId78" Type="http://schemas.openxmlformats.org/officeDocument/2006/relationships/worksheet" Target="worksheets/sheet78.xml"/><Relationship Id="rId81" Type="http://schemas.openxmlformats.org/officeDocument/2006/relationships/worksheet" Target="worksheets/sheet81.xml"/><Relationship Id="rId86" Type="http://schemas.openxmlformats.org/officeDocument/2006/relationships/worksheet" Target="worksheets/sheet86.xml"/><Relationship Id="rId94" Type="http://schemas.openxmlformats.org/officeDocument/2006/relationships/worksheet" Target="worksheets/sheet94.xml"/><Relationship Id="rId99" Type="http://schemas.openxmlformats.org/officeDocument/2006/relationships/worksheet" Target="worksheets/sheet99.xml"/><Relationship Id="rId101" Type="http://schemas.openxmlformats.org/officeDocument/2006/relationships/worksheet" Target="worksheets/sheet10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9" Type="http://schemas.openxmlformats.org/officeDocument/2006/relationships/worksheet" Target="worksheets/sheet39.xml"/><Relationship Id="rId109" Type="http://schemas.openxmlformats.org/officeDocument/2006/relationships/worksheet" Target="worksheets/sheet109.xml"/><Relationship Id="rId34" Type="http://schemas.openxmlformats.org/officeDocument/2006/relationships/worksheet" Target="worksheets/sheet34.xml"/><Relationship Id="rId50" Type="http://schemas.openxmlformats.org/officeDocument/2006/relationships/worksheet" Target="worksheets/sheet50.xml"/><Relationship Id="rId55" Type="http://schemas.openxmlformats.org/officeDocument/2006/relationships/worksheet" Target="worksheets/sheet55.xml"/><Relationship Id="rId76" Type="http://schemas.openxmlformats.org/officeDocument/2006/relationships/worksheet" Target="worksheets/sheet76.xml"/><Relationship Id="rId97" Type="http://schemas.openxmlformats.org/officeDocument/2006/relationships/worksheet" Target="worksheets/sheet97.xml"/><Relationship Id="rId104" Type="http://schemas.openxmlformats.org/officeDocument/2006/relationships/worksheet" Target="worksheets/sheet104.xml"/><Relationship Id="rId7" Type="http://schemas.openxmlformats.org/officeDocument/2006/relationships/worksheet" Target="worksheets/sheet7.xml"/><Relationship Id="rId71" Type="http://schemas.openxmlformats.org/officeDocument/2006/relationships/worksheet" Target="worksheets/sheet71.xml"/><Relationship Id="rId92" Type="http://schemas.openxmlformats.org/officeDocument/2006/relationships/worksheet" Target="worksheets/sheet92.xml"/><Relationship Id="rId2" Type="http://schemas.openxmlformats.org/officeDocument/2006/relationships/worksheet" Target="worksheets/sheet2.xml"/><Relationship Id="rId29" Type="http://schemas.openxmlformats.org/officeDocument/2006/relationships/worksheet" Target="worksheets/sheet29.xml"/><Relationship Id="rId24" Type="http://schemas.openxmlformats.org/officeDocument/2006/relationships/worksheet" Target="worksheets/sheet24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66" Type="http://schemas.openxmlformats.org/officeDocument/2006/relationships/worksheet" Target="worksheets/sheet66.xml"/><Relationship Id="rId87" Type="http://schemas.openxmlformats.org/officeDocument/2006/relationships/worksheet" Target="worksheets/sheet87.xml"/><Relationship Id="rId110" Type="http://schemas.openxmlformats.org/officeDocument/2006/relationships/worksheet" Target="worksheets/sheet110.xml"/><Relationship Id="rId61" Type="http://schemas.openxmlformats.org/officeDocument/2006/relationships/worksheet" Target="worksheets/sheet61.xml"/><Relationship Id="rId82" Type="http://schemas.openxmlformats.org/officeDocument/2006/relationships/worksheet" Target="worksheets/sheet82.xml"/><Relationship Id="rId19" Type="http://schemas.openxmlformats.org/officeDocument/2006/relationships/worksheet" Target="worksheets/sheet19.xml"/><Relationship Id="rId14" Type="http://schemas.openxmlformats.org/officeDocument/2006/relationships/worksheet" Target="worksheets/sheet14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56" Type="http://schemas.openxmlformats.org/officeDocument/2006/relationships/worksheet" Target="worksheets/sheet56.xml"/><Relationship Id="rId77" Type="http://schemas.openxmlformats.org/officeDocument/2006/relationships/worksheet" Target="worksheets/sheet77.xml"/><Relationship Id="rId100" Type="http://schemas.openxmlformats.org/officeDocument/2006/relationships/worksheet" Target="worksheets/sheet100.xml"/><Relationship Id="rId105" Type="http://schemas.openxmlformats.org/officeDocument/2006/relationships/worksheet" Target="worksheets/sheet105.xml"/><Relationship Id="rId8" Type="http://schemas.openxmlformats.org/officeDocument/2006/relationships/worksheet" Target="worksheets/sheet8.xml"/><Relationship Id="rId51" Type="http://schemas.openxmlformats.org/officeDocument/2006/relationships/worksheet" Target="worksheets/sheet51.xml"/><Relationship Id="rId72" Type="http://schemas.openxmlformats.org/officeDocument/2006/relationships/worksheet" Target="worksheets/sheet72.xml"/><Relationship Id="rId93" Type="http://schemas.openxmlformats.org/officeDocument/2006/relationships/worksheet" Target="worksheets/sheet93.xml"/><Relationship Id="rId98" Type="http://schemas.openxmlformats.org/officeDocument/2006/relationships/worksheet" Target="worksheets/sheet98.xml"/><Relationship Id="rId3" Type="http://schemas.openxmlformats.org/officeDocument/2006/relationships/worksheet" Target="worksheets/sheet3.xml"/><Relationship Id="rId25" Type="http://schemas.openxmlformats.org/officeDocument/2006/relationships/worksheet" Target="worksheets/sheet25.xml"/><Relationship Id="rId46" Type="http://schemas.openxmlformats.org/officeDocument/2006/relationships/worksheet" Target="worksheets/sheet46.xml"/><Relationship Id="rId67" Type="http://schemas.openxmlformats.org/officeDocument/2006/relationships/worksheet" Target="worksheets/sheet67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62" Type="http://schemas.openxmlformats.org/officeDocument/2006/relationships/worksheet" Target="worksheets/sheet62.xml"/><Relationship Id="rId83" Type="http://schemas.openxmlformats.org/officeDocument/2006/relationships/worksheet" Target="worksheets/sheet83.xml"/><Relationship Id="rId88" Type="http://schemas.openxmlformats.org/officeDocument/2006/relationships/worksheet" Target="worksheets/sheet88.xml"/><Relationship Id="rId111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3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3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3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_rels/sheet4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_rels/sheet4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1.bin"/></Relationships>
</file>

<file path=xl/worksheets/_rels/sheet4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2.bin"/></Relationships>
</file>

<file path=xl/worksheets/_rels/sheet4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3.bin"/></Relationships>
</file>

<file path=xl/worksheets/_rels/sheet4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4.bin"/></Relationships>
</file>

<file path=xl/worksheets/_rels/sheet4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5.bin"/></Relationships>
</file>

<file path=xl/worksheets/_rels/sheet5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6.bin"/></Relationships>
</file>

<file path=xl/worksheets/_rels/sheet5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7.bin"/></Relationships>
</file>

<file path=xl/worksheets/_rels/sheet5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8.bin"/></Relationships>
</file>

<file path=xl/worksheets/_rels/sheet5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9.bin"/></Relationships>
</file>

<file path=xl/worksheets/_rels/sheet5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0.bin"/></Relationships>
</file>

<file path=xl/worksheets/_rels/sheet5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1.bin"/></Relationships>
</file>

<file path=xl/worksheets/_rels/sheet5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2.bin"/></Relationships>
</file>

<file path=xl/worksheets/_rels/sheet5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3.bin"/></Relationships>
</file>

<file path=xl/worksheets/_rels/sheet6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4.bin"/></Relationships>
</file>

<file path=xl/worksheets/_rels/sheet6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5.bin"/></Relationships>
</file>

<file path=xl/worksheets/_rels/sheet6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6.bin"/></Relationships>
</file>

<file path=xl/worksheets/_rels/sheet6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7.bin"/></Relationships>
</file>

<file path=xl/worksheets/_rels/sheet6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8.bin"/></Relationships>
</file>

<file path=xl/worksheets/_rels/sheet6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9.bin"/></Relationships>
</file>

<file path=xl/worksheets/_rels/sheet6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0.bin"/></Relationships>
</file>

<file path=xl/worksheets/_rels/sheet6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1.bin"/></Relationships>
</file>

<file path=xl/worksheets/_rels/sheet6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2.bin"/></Relationships>
</file>

<file path=xl/worksheets/_rels/sheet6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3.bin"/></Relationships>
</file>

<file path=xl/worksheets/_rels/sheet7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4.bin"/></Relationships>
</file>

<file path=xl/worksheets/_rels/sheet7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5.bin"/></Relationships>
</file>

<file path=xl/worksheets/_rels/sheet7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6.bin"/></Relationships>
</file>

<file path=xl/worksheets/_rels/sheet7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7.bin"/></Relationships>
</file>

<file path=xl/worksheets/_rels/sheet7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8.bin"/></Relationships>
</file>

<file path=xl/worksheets/_rels/sheet7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9.bin"/></Relationships>
</file>

<file path=xl/worksheets/_rels/sheet7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0.bin"/></Relationships>
</file>

<file path=xl/worksheets/_rels/sheet7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1.bin"/></Relationships>
</file>

<file path=xl/worksheets/_rels/sheet8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2.bin"/></Relationships>
</file>

<file path=xl/worksheets/_rels/sheet8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3.bin"/></Relationships>
</file>

<file path=xl/worksheets/_rels/sheet8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4.bin"/></Relationships>
</file>

<file path=xl/worksheets/_rels/sheet9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5.bin"/></Relationships>
</file>

<file path=xl/worksheets/_rels/sheet9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6.bin"/></Relationships>
</file>

<file path=xl/worksheets/_rels/sheet9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7.bin"/></Relationships>
</file>

<file path=xl/worksheets/_rels/sheet9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8.bin"/></Relationships>
</file>

<file path=xl/worksheets/_rels/sheet9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9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E5E074-61D5-4D82-B0DB-255C2595EBED}">
  <sheetPr>
    <tabColor theme="2" tint="-9.9978637043366805E-2"/>
  </sheetPr>
  <dimension ref="B1:M37"/>
  <sheetViews>
    <sheetView tabSelected="1" topLeftCell="A4" zoomScale="110" zoomScaleNormal="110" workbookViewId="0">
      <selection activeCell="A4" sqref="A4"/>
    </sheetView>
  </sheetViews>
  <sheetFormatPr baseColWidth="10" defaultColWidth="8.83203125" defaultRowHeight="15" x14ac:dyDescent="0.2"/>
  <cols>
    <col min="2" max="2" width="4.1640625" customWidth="1"/>
    <col min="10" max="10" width="4.5" customWidth="1"/>
    <col min="11" max="11" width="9.5" customWidth="1"/>
  </cols>
  <sheetData>
    <row r="1" spans="2:11" ht="16" thickBot="1" x14ac:dyDescent="0.25"/>
    <row r="2" spans="2:11" x14ac:dyDescent="0.2">
      <c r="B2" s="7"/>
      <c r="C2" s="8"/>
      <c r="D2" s="8"/>
      <c r="E2" s="8"/>
      <c r="F2" s="8"/>
      <c r="G2" s="8"/>
      <c r="H2" s="8"/>
      <c r="I2" s="8"/>
      <c r="J2" s="8"/>
      <c r="K2" s="9"/>
    </row>
    <row r="3" spans="2:11" x14ac:dyDescent="0.2">
      <c r="B3" s="10"/>
      <c r="C3" s="11" t="s">
        <v>0</v>
      </c>
      <c r="D3" s="12"/>
      <c r="E3" s="12"/>
      <c r="F3" s="12"/>
      <c r="G3" s="12"/>
      <c r="H3" s="12"/>
      <c r="I3" s="12"/>
      <c r="J3" s="12"/>
      <c r="K3" s="13"/>
    </row>
    <row r="4" spans="2:11" x14ac:dyDescent="0.2">
      <c r="B4" s="10"/>
      <c r="C4" s="12"/>
      <c r="D4" s="12"/>
      <c r="E4" s="12"/>
      <c r="F4" s="12"/>
      <c r="G4" s="12"/>
      <c r="H4" s="12"/>
      <c r="I4" s="12"/>
      <c r="J4" s="12"/>
      <c r="K4" s="13"/>
    </row>
    <row r="5" spans="2:11" x14ac:dyDescent="0.2">
      <c r="B5" s="10"/>
      <c r="C5" s="12" t="s">
        <v>1</v>
      </c>
      <c r="D5" s="12"/>
      <c r="E5" s="12"/>
      <c r="F5" s="12"/>
      <c r="G5" s="12"/>
      <c r="H5" s="12"/>
      <c r="I5" s="12"/>
      <c r="J5" s="12"/>
      <c r="K5" s="13"/>
    </row>
    <row r="6" spans="2:11" x14ac:dyDescent="0.2">
      <c r="B6" s="10"/>
      <c r="C6" s="12" t="s">
        <v>2</v>
      </c>
      <c r="D6" s="12"/>
      <c r="E6" s="12"/>
      <c r="F6" s="12"/>
      <c r="G6" s="12"/>
      <c r="H6" s="12"/>
      <c r="I6" s="12"/>
      <c r="J6" s="12"/>
      <c r="K6" s="13"/>
    </row>
    <row r="7" spans="2:11" x14ac:dyDescent="0.2">
      <c r="B7" s="10"/>
      <c r="C7" s="12" t="s">
        <v>3</v>
      </c>
      <c r="D7" s="12"/>
      <c r="E7" s="12"/>
      <c r="F7" s="12"/>
      <c r="G7" s="12"/>
      <c r="H7" s="12"/>
      <c r="I7" s="12"/>
      <c r="J7" s="12"/>
      <c r="K7" s="13"/>
    </row>
    <row r="8" spans="2:11" x14ac:dyDescent="0.2">
      <c r="B8" s="10"/>
      <c r="C8" s="12" t="s">
        <v>4</v>
      </c>
      <c r="D8" s="12"/>
      <c r="E8" s="12"/>
      <c r="F8" s="12"/>
      <c r="G8" s="12"/>
      <c r="H8" s="12"/>
      <c r="I8" s="12"/>
      <c r="J8" s="12"/>
      <c r="K8" s="13"/>
    </row>
    <row r="9" spans="2:11" x14ac:dyDescent="0.2">
      <c r="B9" s="10"/>
      <c r="C9" s="12" t="s">
        <v>5</v>
      </c>
      <c r="D9" s="12"/>
      <c r="E9" s="12"/>
      <c r="F9" s="12"/>
      <c r="G9" s="12"/>
      <c r="H9" s="12"/>
      <c r="I9" s="12"/>
      <c r="J9" s="12"/>
      <c r="K9" s="13"/>
    </row>
    <row r="10" spans="2:11" x14ac:dyDescent="0.2">
      <c r="B10" s="10"/>
      <c r="C10" s="12" t="s">
        <v>6</v>
      </c>
      <c r="D10" s="12"/>
      <c r="E10" s="12"/>
      <c r="F10" s="12"/>
      <c r="G10" s="12"/>
      <c r="H10" s="12"/>
      <c r="I10" s="12"/>
      <c r="J10" s="12"/>
      <c r="K10" s="13"/>
    </row>
    <row r="11" spans="2:11" x14ac:dyDescent="0.2">
      <c r="B11" s="10"/>
      <c r="C11" s="12"/>
      <c r="D11" s="12"/>
      <c r="E11" s="12"/>
      <c r="F11" s="12"/>
      <c r="G11" s="12"/>
      <c r="H11" s="12"/>
      <c r="I11" s="12"/>
      <c r="J11" s="12"/>
      <c r="K11" s="13"/>
    </row>
    <row r="12" spans="2:11" x14ac:dyDescent="0.2">
      <c r="B12" s="10"/>
      <c r="C12" s="12" t="s">
        <v>7</v>
      </c>
      <c r="D12" s="12"/>
      <c r="E12" s="12"/>
      <c r="F12" s="12"/>
      <c r="G12" s="12"/>
      <c r="H12" s="12"/>
      <c r="I12" s="12"/>
      <c r="J12" s="12"/>
      <c r="K12" s="13"/>
    </row>
    <row r="13" spans="2:11" x14ac:dyDescent="0.2">
      <c r="B13" s="10"/>
      <c r="C13" s="12" t="s">
        <v>8</v>
      </c>
      <c r="D13" s="12"/>
      <c r="E13" s="12"/>
      <c r="F13" s="12"/>
      <c r="G13" s="12"/>
      <c r="H13" s="12"/>
      <c r="I13" s="12"/>
      <c r="J13" s="12"/>
      <c r="K13" s="13"/>
    </row>
    <row r="14" spans="2:11" x14ac:dyDescent="0.2">
      <c r="B14" s="10"/>
      <c r="C14" s="12"/>
      <c r="D14" s="12"/>
      <c r="E14" s="12"/>
      <c r="F14" s="12"/>
      <c r="G14" s="12"/>
      <c r="H14" s="12"/>
      <c r="I14" s="12"/>
      <c r="J14" s="12"/>
      <c r="K14" s="13"/>
    </row>
    <row r="15" spans="2:11" x14ac:dyDescent="0.2">
      <c r="B15" s="10"/>
      <c r="C15" s="12" t="s">
        <v>9</v>
      </c>
      <c r="D15" s="12"/>
      <c r="E15" s="12"/>
      <c r="F15" s="12"/>
      <c r="G15" s="12"/>
      <c r="H15" s="12"/>
      <c r="I15" s="12"/>
      <c r="J15" s="12"/>
      <c r="K15" s="13"/>
    </row>
    <row r="16" spans="2:11" x14ac:dyDescent="0.2">
      <c r="B16" s="10"/>
      <c r="C16" s="12" t="s">
        <v>10</v>
      </c>
      <c r="D16" s="12"/>
      <c r="E16" s="12"/>
      <c r="F16" s="12"/>
      <c r="G16" s="12"/>
      <c r="H16" s="12"/>
      <c r="I16" s="12"/>
      <c r="J16" s="12"/>
      <c r="K16" s="13"/>
    </row>
    <row r="17" spans="2:13" x14ac:dyDescent="0.2">
      <c r="B17" s="10"/>
      <c r="C17" s="12" t="s">
        <v>11</v>
      </c>
      <c r="D17" s="12"/>
      <c r="E17" s="12"/>
      <c r="F17" s="12"/>
      <c r="G17" s="12"/>
      <c r="H17" s="12"/>
      <c r="I17" s="12"/>
      <c r="J17" s="12"/>
      <c r="K17" s="13"/>
    </row>
    <row r="18" spans="2:13" x14ac:dyDescent="0.2">
      <c r="B18" s="10"/>
      <c r="C18" s="12" t="s">
        <v>12</v>
      </c>
      <c r="D18" s="12"/>
      <c r="E18" s="12"/>
      <c r="F18" s="12"/>
      <c r="G18" s="12"/>
      <c r="H18" s="12"/>
      <c r="I18" s="12"/>
      <c r="J18" s="12"/>
      <c r="K18" s="13"/>
    </row>
    <row r="19" spans="2:13" x14ac:dyDescent="0.2">
      <c r="B19" s="10"/>
      <c r="C19" s="12"/>
      <c r="D19" s="12"/>
      <c r="E19" s="12"/>
      <c r="F19" s="12"/>
      <c r="G19" s="12"/>
      <c r="H19" s="12"/>
      <c r="I19" s="12"/>
      <c r="J19" s="12"/>
      <c r="K19" s="13"/>
    </row>
    <row r="20" spans="2:13" x14ac:dyDescent="0.2">
      <c r="B20" s="10"/>
      <c r="C20" s="12"/>
      <c r="D20" s="12"/>
      <c r="E20" s="12"/>
      <c r="F20" s="12"/>
      <c r="G20" s="12"/>
      <c r="H20" s="12"/>
      <c r="I20" s="12"/>
      <c r="J20" s="12"/>
      <c r="K20" s="13"/>
    </row>
    <row r="21" spans="2:13" x14ac:dyDescent="0.2">
      <c r="B21" s="10"/>
      <c r="C21" s="14" t="s">
        <v>13</v>
      </c>
      <c r="D21" s="12"/>
      <c r="E21" s="12"/>
      <c r="F21" s="14" t="s">
        <v>14</v>
      </c>
      <c r="G21" s="12"/>
      <c r="H21" s="12"/>
      <c r="I21" s="12"/>
      <c r="J21" s="12"/>
      <c r="K21" s="13"/>
    </row>
    <row r="22" spans="2:13" x14ac:dyDescent="0.2">
      <c r="B22" s="10"/>
      <c r="C22" s="12"/>
      <c r="D22" s="12"/>
      <c r="E22" s="12"/>
      <c r="F22" s="12"/>
      <c r="G22" s="12"/>
      <c r="H22" s="12"/>
      <c r="I22" s="12"/>
      <c r="J22" s="12"/>
      <c r="K22" s="13"/>
    </row>
    <row r="23" spans="2:13" x14ac:dyDescent="0.2">
      <c r="B23" s="10"/>
      <c r="C23" s="15" t="s">
        <v>15</v>
      </c>
      <c r="D23" s="12"/>
      <c r="E23" s="12"/>
      <c r="F23" s="12" t="s">
        <v>16</v>
      </c>
      <c r="G23" s="12"/>
      <c r="H23" s="12"/>
      <c r="I23" s="12"/>
      <c r="J23" s="12"/>
      <c r="K23" s="13"/>
    </row>
    <row r="24" spans="2:13" x14ac:dyDescent="0.2">
      <c r="B24" s="10"/>
      <c r="C24" s="15" t="s">
        <v>17</v>
      </c>
      <c r="D24" s="12"/>
      <c r="E24" s="12"/>
      <c r="F24" s="12" t="s">
        <v>18</v>
      </c>
      <c r="G24" s="12"/>
      <c r="H24" s="12"/>
      <c r="I24" s="12"/>
      <c r="J24" s="12"/>
      <c r="K24" s="13"/>
    </row>
    <row r="25" spans="2:13" x14ac:dyDescent="0.2">
      <c r="B25" s="10"/>
      <c r="C25" s="15" t="s">
        <v>19</v>
      </c>
      <c r="D25" s="12"/>
      <c r="E25" s="12"/>
      <c r="F25" s="12" t="s">
        <v>20</v>
      </c>
      <c r="G25" s="12"/>
      <c r="H25" s="12"/>
      <c r="I25" s="12"/>
      <c r="J25" s="12"/>
      <c r="K25" s="13"/>
    </row>
    <row r="26" spans="2:13" x14ac:dyDescent="0.2">
      <c r="B26" s="10"/>
      <c r="C26" s="15" t="s">
        <v>21</v>
      </c>
      <c r="D26" s="12"/>
      <c r="E26" s="12"/>
      <c r="F26" s="12" t="s">
        <v>22</v>
      </c>
      <c r="G26" s="12"/>
      <c r="H26" s="12"/>
      <c r="I26" s="12"/>
      <c r="J26" s="12"/>
      <c r="K26" s="13"/>
    </row>
    <row r="27" spans="2:13" x14ac:dyDescent="0.2">
      <c r="B27" s="10"/>
      <c r="C27" s="15" t="s">
        <v>23</v>
      </c>
      <c r="D27" s="12"/>
      <c r="E27" s="12"/>
      <c r="F27" s="12" t="s">
        <v>24</v>
      </c>
      <c r="G27" s="12"/>
      <c r="H27" s="12"/>
      <c r="I27" s="12"/>
      <c r="J27" s="12"/>
      <c r="K27" s="13"/>
    </row>
    <row r="28" spans="2:13" x14ac:dyDescent="0.2">
      <c r="B28" s="10"/>
      <c r="C28" s="15" t="s">
        <v>25</v>
      </c>
      <c r="D28" s="12"/>
      <c r="E28" s="12"/>
      <c r="F28" s="12" t="s">
        <v>26</v>
      </c>
      <c r="G28" s="12"/>
      <c r="H28" s="12"/>
      <c r="I28" s="12"/>
      <c r="J28" s="12"/>
      <c r="K28" s="13"/>
    </row>
    <row r="29" spans="2:13" x14ac:dyDescent="0.2">
      <c r="B29" s="10"/>
      <c r="C29" s="15" t="s">
        <v>27</v>
      </c>
      <c r="D29" s="12"/>
      <c r="E29" s="12"/>
      <c r="F29" s="12" t="s">
        <v>28</v>
      </c>
      <c r="G29" s="12"/>
      <c r="H29" s="12"/>
      <c r="I29" s="12"/>
      <c r="J29" s="12"/>
      <c r="K29" s="13"/>
    </row>
    <row r="30" spans="2:13" x14ac:dyDescent="0.2">
      <c r="B30" s="10"/>
      <c r="C30" s="15" t="s">
        <v>29</v>
      </c>
      <c r="D30" s="12"/>
      <c r="E30" s="12"/>
      <c r="F30" s="12" t="s">
        <v>30</v>
      </c>
      <c r="G30" s="12"/>
      <c r="H30" s="12"/>
      <c r="I30" s="12"/>
      <c r="J30" s="12"/>
      <c r="K30" s="13"/>
    </row>
    <row r="31" spans="2:13" x14ac:dyDescent="0.2">
      <c r="B31" s="10"/>
      <c r="C31" s="15" t="s">
        <v>31</v>
      </c>
      <c r="D31" s="12"/>
      <c r="E31" s="12"/>
      <c r="F31" s="12" t="s">
        <v>32</v>
      </c>
      <c r="G31" s="12"/>
      <c r="H31" s="12"/>
      <c r="I31" s="12"/>
      <c r="J31" s="12"/>
      <c r="K31" s="13"/>
      <c r="M31" s="19"/>
    </row>
    <row r="32" spans="2:13" x14ac:dyDescent="0.2">
      <c r="B32" s="10"/>
      <c r="C32" s="15" t="s">
        <v>33</v>
      </c>
      <c r="D32" s="12"/>
      <c r="E32" s="12"/>
      <c r="F32" s="12" t="s">
        <v>34</v>
      </c>
      <c r="G32" s="12"/>
      <c r="H32" s="12"/>
      <c r="I32" s="12"/>
      <c r="J32" s="12"/>
      <c r="K32" s="13"/>
    </row>
    <row r="33" spans="2:11" x14ac:dyDescent="0.2">
      <c r="B33" s="10"/>
      <c r="C33" s="15" t="s">
        <v>35</v>
      </c>
      <c r="D33" s="12"/>
      <c r="E33" s="12"/>
      <c r="F33" s="12" t="s">
        <v>36</v>
      </c>
      <c r="G33" s="12"/>
      <c r="H33" s="12"/>
      <c r="I33" s="12"/>
      <c r="J33" s="12"/>
      <c r="K33" s="13"/>
    </row>
    <row r="34" spans="2:11" x14ac:dyDescent="0.2">
      <c r="B34" s="10"/>
      <c r="C34" s="15" t="s">
        <v>37</v>
      </c>
      <c r="D34" s="12"/>
      <c r="E34" s="12"/>
      <c r="F34" s="12" t="s">
        <v>38</v>
      </c>
      <c r="G34" s="12"/>
      <c r="H34" s="12"/>
      <c r="I34" s="12"/>
      <c r="J34" s="12"/>
      <c r="K34" s="13"/>
    </row>
    <row r="35" spans="2:11" x14ac:dyDescent="0.2">
      <c r="B35" s="10"/>
      <c r="C35" s="15" t="s">
        <v>39</v>
      </c>
      <c r="D35" s="12"/>
      <c r="E35" s="12"/>
      <c r="F35" s="12" t="s">
        <v>40</v>
      </c>
      <c r="G35" s="12"/>
      <c r="H35" s="12"/>
      <c r="I35" s="12"/>
      <c r="J35" s="12"/>
      <c r="K35" s="13"/>
    </row>
    <row r="36" spans="2:11" x14ac:dyDescent="0.2">
      <c r="B36" s="10"/>
      <c r="C36" s="15" t="s">
        <v>41</v>
      </c>
      <c r="D36" s="12"/>
      <c r="E36" s="12"/>
      <c r="F36" s="12" t="s">
        <v>42</v>
      </c>
      <c r="G36" s="12"/>
      <c r="H36" s="12"/>
      <c r="I36" s="12"/>
      <c r="J36" s="12"/>
      <c r="K36" s="13"/>
    </row>
    <row r="37" spans="2:11" ht="16" thickBot="1" x14ac:dyDescent="0.25">
      <c r="B37" s="16"/>
      <c r="C37" s="17"/>
      <c r="D37" s="17"/>
      <c r="E37" s="17"/>
      <c r="F37" s="17"/>
      <c r="G37" s="17"/>
      <c r="H37" s="17"/>
      <c r="I37" s="17"/>
      <c r="J37" s="17"/>
      <c r="K37" s="18"/>
    </row>
  </sheetData>
  <hyperlinks>
    <hyperlink ref="C23" location="ProductionPads!A1" display="Production Pads" xr:uid="{9F210CF9-07D8-4A5E-93FA-C36DB3D0C25C}"/>
    <hyperlink ref="C24" location="CompletionsPads!A1" display="Completion Pads" xr:uid="{FCB2B4B8-DE9A-4CA5-90EE-5ABB7DC62CE8}"/>
    <hyperlink ref="C25" location="SWDSites!A1" display="SWD Sites" xr:uid="{578FF2CF-9534-4CAF-BB8F-4D4AA1E825D5}"/>
    <hyperlink ref="C26" location="TruckingTime!A1" display="Drive Times" xr:uid="{5F5D0203-D880-4C5E-BE1C-955F74100BBC}"/>
    <hyperlink ref="C27" location="CompletionsDemand!A1" display="Completions Demand" xr:uid="{A43BADFA-E10F-491D-84C5-C8FC31AD4621}"/>
    <hyperlink ref="C28" location="FlowbackRates!A1" display="Flowback Rates" xr:uid="{7AB55603-1A43-41A6-9693-1B89B6DCD5C2}"/>
    <hyperlink ref="C29" location="PadRates!A1" display="Production Rates" xr:uid="{60EE3CB2-6945-4EF9-994B-D4937DBB327B}"/>
    <hyperlink ref="C30" location="DisposalOperatingCapacity!A1" display="Disposal Capacity" xr:uid="{CAE3DFDA-8B08-4283-9205-309B32142AC6}"/>
    <hyperlink ref="C31" location="FreshSourcingCost!A1" display="Freshwater Costs" xr:uid="{88138AE4-1159-418A-A895-39D1A4152B0C}"/>
    <hyperlink ref="C32" location="ReuseOperationalCost!A1" display="Reuse Costs" xr:uid="{146BA03C-3C08-4957-9F2D-51584E8F9494}"/>
    <hyperlink ref="C33" location="DisposalOperationalCost!A1" display="Disposal Costs" xr:uid="{906CEF7C-3D67-4EB0-9995-1E45CB542C7C}"/>
    <hyperlink ref="C34" location="TruckingHourlyCost!A1" display="Hauling Rates" xr:uid="{E573813D-C46B-4CBC-BD31-9C5E10AF7D7A}"/>
    <hyperlink ref="C35" location="InitialPipelineCapacity!A1" display="Transfer Lines" xr:uid="{DE4838A7-5816-4652-8F68-37E66B00E2ED}"/>
    <hyperlink ref="C36" location="PipelineCapexDistanceBased!A1" display="Pipeline Expansion" xr:uid="{71654592-CF02-4564-8F69-88D94B3F411B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19BCD0-9FF0-4128-B77A-FE703C6CAEA8}">
  <sheetPr>
    <tabColor theme="2" tint="-9.9978637043366805E-2"/>
  </sheetPr>
  <dimension ref="C3:M36"/>
  <sheetViews>
    <sheetView zoomScaleNormal="100" workbookViewId="0">
      <selection activeCell="F28" sqref="F28"/>
    </sheetView>
  </sheetViews>
  <sheetFormatPr baseColWidth="10" defaultColWidth="8.83203125" defaultRowHeight="15" x14ac:dyDescent="0.2"/>
  <cols>
    <col min="2" max="2" width="4.1640625" customWidth="1"/>
    <col min="10" max="10" width="4.5" customWidth="1"/>
    <col min="11" max="11" width="9.5" customWidth="1"/>
  </cols>
  <sheetData>
    <row r="3" spans="3:3" x14ac:dyDescent="0.2">
      <c r="C3" s="27"/>
    </row>
    <row r="21" spans="3:13" x14ac:dyDescent="0.2">
      <c r="C21" s="28"/>
      <c r="F21" s="28"/>
    </row>
    <row r="23" spans="3:13" x14ac:dyDescent="0.2">
      <c r="C23" s="29"/>
    </row>
    <row r="24" spans="3:13" x14ac:dyDescent="0.2">
      <c r="C24" s="29"/>
    </row>
    <row r="25" spans="3:13" x14ac:dyDescent="0.2">
      <c r="C25" s="29"/>
    </row>
    <row r="26" spans="3:13" x14ac:dyDescent="0.2">
      <c r="C26" s="29"/>
    </row>
    <row r="27" spans="3:13" x14ac:dyDescent="0.2">
      <c r="C27" s="29"/>
    </row>
    <row r="28" spans="3:13" x14ac:dyDescent="0.2">
      <c r="C28" s="29"/>
    </row>
    <row r="29" spans="3:13" x14ac:dyDescent="0.2">
      <c r="C29" s="29"/>
    </row>
    <row r="30" spans="3:13" x14ac:dyDescent="0.2">
      <c r="C30" s="29"/>
    </row>
    <row r="31" spans="3:13" x14ac:dyDescent="0.2">
      <c r="C31" s="29"/>
      <c r="M31" s="19"/>
    </row>
    <row r="32" spans="3:13" x14ac:dyDescent="0.2">
      <c r="C32" s="29"/>
    </row>
    <row r="33" spans="3:3" x14ac:dyDescent="0.2">
      <c r="C33" s="29"/>
    </row>
    <row r="34" spans="3:3" x14ac:dyDescent="0.2">
      <c r="C34" s="29"/>
    </row>
    <row r="35" spans="3:3" x14ac:dyDescent="0.2">
      <c r="C35" s="29"/>
    </row>
    <row r="36" spans="3:3" x14ac:dyDescent="0.2">
      <c r="C36" s="29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F19DE1-7232-9D4E-A12D-8B7450D54C2A}">
  <sheetPr>
    <tabColor theme="2" tint="-9.9978637043366805E-2"/>
  </sheetPr>
  <dimension ref="A1:BB12"/>
  <sheetViews>
    <sheetView zoomScaleNormal="100" workbookViewId="0"/>
  </sheetViews>
  <sheetFormatPr baseColWidth="10" defaultColWidth="9.33203125" defaultRowHeight="16" x14ac:dyDescent="0.2"/>
  <cols>
    <col min="1" max="1" width="16.83203125" style="1" customWidth="1"/>
    <col min="2" max="2" width="13.1640625" style="1" customWidth="1"/>
    <col min="3" max="3" width="9.33203125" style="1"/>
    <col min="4" max="4" width="92.5" style="1" bestFit="1" customWidth="1"/>
    <col min="5" max="5" width="8.5" style="1" bestFit="1" customWidth="1"/>
    <col min="6" max="6" width="2.33203125" style="1" bestFit="1" customWidth="1"/>
    <col min="7" max="7" width="12.5" style="1" bestFit="1" customWidth="1"/>
    <col min="8" max="8" width="0.6640625" style="1" customWidth="1"/>
    <col min="9" max="9" width="8.5" style="1" bestFit="1" customWidth="1"/>
    <col min="10" max="10" width="2.33203125" style="1" bestFit="1" customWidth="1"/>
    <col min="11" max="11" width="12.5" style="1" bestFit="1" customWidth="1"/>
    <col min="12" max="48" width="9.33203125" style="1"/>
    <col min="49" max="49" width="13.83203125" style="1" bestFit="1" customWidth="1"/>
    <col min="50" max="50" width="9.33203125" style="1" bestFit="1" customWidth="1"/>
    <col min="51" max="51" width="6.33203125" style="1" bestFit="1" customWidth="1"/>
    <col min="52" max="52" width="9.33203125" style="1" bestFit="1" customWidth="1"/>
    <col min="53" max="53" width="15.5" style="1" bestFit="1" customWidth="1"/>
    <col min="54" max="16384" width="9.33203125" style="1"/>
  </cols>
  <sheetData>
    <row r="1" spans="1:54" ht="17" thickBot="1" x14ac:dyDescent="0.25">
      <c r="A1" s="1" t="s">
        <v>43</v>
      </c>
    </row>
    <row r="2" spans="1:54" s="4" customFormat="1" x14ac:dyDescent="0.2">
      <c r="A2" s="3" t="s">
        <v>44</v>
      </c>
      <c r="B2" s="20" t="s">
        <v>45</v>
      </c>
      <c r="D2" s="50" t="s">
        <v>46</v>
      </c>
      <c r="E2" s="51" t="s">
        <v>47</v>
      </c>
      <c r="F2" s="43"/>
      <c r="G2" s="43"/>
      <c r="H2" s="44"/>
      <c r="I2" s="43"/>
      <c r="J2" s="43"/>
      <c r="K2" s="45"/>
    </row>
    <row r="3" spans="1:54" x14ac:dyDescent="0.2">
      <c r="A3" s="21" t="s">
        <v>48</v>
      </c>
      <c r="B3" s="30" t="s">
        <v>49</v>
      </c>
      <c r="D3" s="38" t="s">
        <v>50</v>
      </c>
      <c r="E3" s="39" t="s">
        <v>49</v>
      </c>
      <c r="F3" s="40" t="s">
        <v>51</v>
      </c>
      <c r="G3" s="33" t="s">
        <v>52</v>
      </c>
      <c r="H3" s="37"/>
      <c r="I3" s="33" t="s">
        <v>53</v>
      </c>
      <c r="J3" s="40" t="s">
        <v>51</v>
      </c>
      <c r="K3" s="35" t="s">
        <v>54</v>
      </c>
    </row>
    <row r="4" spans="1:54" x14ac:dyDescent="0.2">
      <c r="A4" s="21" t="s">
        <v>55</v>
      </c>
      <c r="B4" s="30" t="s">
        <v>56</v>
      </c>
      <c r="D4" s="38" t="s">
        <v>57</v>
      </c>
      <c r="E4" s="39" t="s">
        <v>58</v>
      </c>
      <c r="F4" s="40" t="s">
        <v>51</v>
      </c>
      <c r="G4" s="33" t="s">
        <v>59</v>
      </c>
      <c r="H4" s="37"/>
      <c r="I4" s="33"/>
      <c r="J4" s="33"/>
      <c r="K4" s="35"/>
    </row>
    <row r="5" spans="1:54" x14ac:dyDescent="0.2">
      <c r="A5" s="21" t="s">
        <v>60</v>
      </c>
      <c r="B5" s="30" t="s">
        <v>61</v>
      </c>
      <c r="D5" s="38" t="s">
        <v>62</v>
      </c>
      <c r="E5" s="41"/>
      <c r="F5" s="34"/>
      <c r="G5" s="34"/>
      <c r="H5" s="38"/>
      <c r="I5" s="34"/>
      <c r="J5" s="34"/>
      <c r="K5" s="36"/>
    </row>
    <row r="6" spans="1:54" x14ac:dyDescent="0.2">
      <c r="A6" s="21" t="s">
        <v>63</v>
      </c>
      <c r="B6" s="30" t="s">
        <v>64</v>
      </c>
      <c r="D6" s="38" t="s">
        <v>65</v>
      </c>
      <c r="E6" s="39" t="s">
        <v>64</v>
      </c>
      <c r="F6" s="40" t="s">
        <v>51</v>
      </c>
      <c r="G6" s="33" t="s">
        <v>66</v>
      </c>
      <c r="H6" s="38"/>
      <c r="I6" s="34"/>
      <c r="J6" s="34"/>
      <c r="K6" s="36"/>
    </row>
    <row r="7" spans="1:54" x14ac:dyDescent="0.2">
      <c r="A7" s="21" t="s">
        <v>67</v>
      </c>
      <c r="B7" s="30" t="s">
        <v>68</v>
      </c>
      <c r="D7" s="38" t="s">
        <v>69</v>
      </c>
      <c r="E7" s="39" t="s">
        <v>70</v>
      </c>
      <c r="F7" s="40" t="s">
        <v>51</v>
      </c>
      <c r="G7" s="33" t="s">
        <v>71</v>
      </c>
      <c r="H7" s="38"/>
      <c r="I7" s="34"/>
      <c r="J7" s="34"/>
      <c r="K7" s="36"/>
    </row>
    <row r="8" spans="1:54" x14ac:dyDescent="0.2">
      <c r="A8" s="21" t="s">
        <v>72</v>
      </c>
      <c r="B8" s="30" t="s">
        <v>73</v>
      </c>
      <c r="D8" s="38" t="s">
        <v>74</v>
      </c>
      <c r="E8" s="41"/>
      <c r="F8" s="34"/>
      <c r="G8" s="34"/>
      <c r="H8" s="38"/>
      <c r="I8" s="34"/>
      <c r="J8" s="34"/>
      <c r="K8" s="36"/>
      <c r="AT8" s="24" t="s">
        <v>48</v>
      </c>
      <c r="AU8" s="24" t="s">
        <v>55</v>
      </c>
      <c r="AV8" s="24" t="s">
        <v>60</v>
      </c>
      <c r="AW8" s="24" t="s">
        <v>63</v>
      </c>
      <c r="AX8" s="24" t="s">
        <v>67</v>
      </c>
      <c r="AY8" s="24" t="s">
        <v>72</v>
      </c>
      <c r="AZ8" s="24" t="s">
        <v>233</v>
      </c>
      <c r="BA8" s="24" t="s">
        <v>75</v>
      </c>
    </row>
    <row r="9" spans="1:54" x14ac:dyDescent="0.2">
      <c r="A9" s="21" t="s">
        <v>233</v>
      </c>
      <c r="B9" s="30" t="s">
        <v>234</v>
      </c>
      <c r="D9" s="38" t="s">
        <v>235</v>
      </c>
      <c r="E9" s="41" t="s">
        <v>234</v>
      </c>
      <c r="F9" s="34" t="s">
        <v>51</v>
      </c>
      <c r="G9" s="34" t="s">
        <v>236</v>
      </c>
      <c r="H9" s="38"/>
      <c r="I9" s="34"/>
      <c r="J9" s="34"/>
      <c r="K9" s="36"/>
      <c r="AT9" s="1" t="s">
        <v>49</v>
      </c>
      <c r="AU9" s="1" t="s">
        <v>83</v>
      </c>
      <c r="AV9" s="1" t="s">
        <v>61</v>
      </c>
      <c r="AW9" s="1" t="s">
        <v>64</v>
      </c>
      <c r="AX9" s="1" t="s">
        <v>68</v>
      </c>
      <c r="AY9" s="1" t="s">
        <v>73</v>
      </c>
      <c r="AZ9" s="1" t="s">
        <v>237</v>
      </c>
      <c r="BA9" s="1" t="s">
        <v>73</v>
      </c>
    </row>
    <row r="10" spans="1:54" x14ac:dyDescent="0.2">
      <c r="A10" s="21" t="s">
        <v>238</v>
      </c>
      <c r="B10" s="30" t="s">
        <v>83</v>
      </c>
      <c r="D10" s="38" t="s">
        <v>239</v>
      </c>
      <c r="E10" s="41"/>
      <c r="F10" s="34"/>
      <c r="G10" s="34"/>
      <c r="H10" s="38"/>
      <c r="I10" s="34"/>
      <c r="J10" s="34"/>
      <c r="K10" s="36"/>
      <c r="AT10" s="1" t="s">
        <v>53</v>
      </c>
      <c r="AU10" s="1" t="s">
        <v>56</v>
      </c>
      <c r="AV10" s="1" t="s">
        <v>84</v>
      </c>
      <c r="AW10" s="1" t="s">
        <v>85</v>
      </c>
      <c r="AX10" s="1" t="s">
        <v>70</v>
      </c>
      <c r="AY10" s="1" t="s">
        <v>77</v>
      </c>
      <c r="AZ10" s="1" t="s">
        <v>234</v>
      </c>
      <c r="BA10" s="1" t="s">
        <v>77</v>
      </c>
    </row>
    <row r="11" spans="1:54" x14ac:dyDescent="0.2">
      <c r="A11" s="21" t="s">
        <v>76</v>
      </c>
      <c r="B11" s="30" t="s">
        <v>77</v>
      </c>
      <c r="D11" s="38" t="s">
        <v>78</v>
      </c>
      <c r="E11" s="41" t="s">
        <v>79</v>
      </c>
      <c r="F11" s="34" t="s">
        <v>51</v>
      </c>
      <c r="G11" s="34" t="s">
        <v>80</v>
      </c>
      <c r="H11" s="38"/>
      <c r="I11" s="34" t="s">
        <v>81</v>
      </c>
      <c r="J11" s="34" t="s">
        <v>51</v>
      </c>
      <c r="K11" s="36" t="s">
        <v>82</v>
      </c>
      <c r="AU11" s="1" t="s">
        <v>86</v>
      </c>
      <c r="BA11" s="1" t="s">
        <v>79</v>
      </c>
    </row>
    <row r="12" spans="1:54" ht="17" thickBot="1" x14ac:dyDescent="0.25">
      <c r="A12" s="22" t="s">
        <v>305</v>
      </c>
      <c r="B12" s="26" t="s">
        <v>304</v>
      </c>
      <c r="D12" s="42" t="s">
        <v>303</v>
      </c>
      <c r="E12" s="46" t="s">
        <v>302</v>
      </c>
      <c r="F12" s="47" t="s">
        <v>51</v>
      </c>
      <c r="G12" s="48" t="s">
        <v>301</v>
      </c>
      <c r="H12" s="42"/>
      <c r="I12" s="49"/>
      <c r="J12" s="47"/>
      <c r="K12" s="48"/>
      <c r="AU12" s="1" t="s">
        <v>58</v>
      </c>
      <c r="BB12" s="1" t="s">
        <v>81</v>
      </c>
    </row>
  </sheetData>
  <dataValidations count="8">
    <dataValidation type="list" allowBlank="1" showInputMessage="1" showErrorMessage="1" sqref="B11" xr:uid="{F2F718D3-1F2B-4B75-B6F1-E58F1982C8E5}">
      <formula1>$BA$9:$BA$12</formula1>
    </dataValidation>
    <dataValidation type="list" allowBlank="1" showInputMessage="1" showErrorMessage="1" sqref="B9" xr:uid="{A9C3EE24-05FB-48EE-9886-7F2676DC7EE9}">
      <formula1>$AZ$9:$AZ$10</formula1>
    </dataValidation>
    <dataValidation type="list" allowBlank="1" showInputMessage="1" showErrorMessage="1" sqref="B5" xr:uid="{C77CFCD0-E9B6-4035-9AEC-88575ADC24B9}">
      <formula1>$AV$9:$AV$10</formula1>
    </dataValidation>
    <dataValidation type="list" allowBlank="1" showInputMessage="1" showErrorMessage="1" sqref="B8" xr:uid="{C12D334A-9947-4F69-ADBA-610C067372DB}">
      <formula1>$AY$9:$AY$10</formula1>
    </dataValidation>
    <dataValidation type="list" allowBlank="1" showInputMessage="1" showErrorMessage="1" sqref="B7" xr:uid="{786B06B2-2E18-4E07-817C-AFF8EF08A5C5}">
      <formula1>$AX$9:$AX$10</formula1>
    </dataValidation>
    <dataValidation type="list" allowBlank="1" showInputMessage="1" showErrorMessage="1" sqref="B6" xr:uid="{9028AD91-E96A-4D2A-B2A3-6F94739A937D}">
      <formula1>$AW$9:$AW$10</formula1>
    </dataValidation>
    <dataValidation type="list" allowBlank="1" showInputMessage="1" showErrorMessage="1" sqref="B4 B10" xr:uid="{48F5BE7D-5F59-4B5D-A488-104864EC18E3}">
      <formula1>$AU$9:$AU$12</formula1>
    </dataValidation>
    <dataValidation type="list" allowBlank="1" showInputMessage="1" showErrorMessage="1" sqref="B3" xr:uid="{0221D16C-ACF3-42AE-9C26-25DCEE5A4935}">
      <formula1>$AT$9:$AT$10</formula1>
    </dataValidation>
  </dataValidations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9A76A8-5CE6-4878-A6D7-FB5DF8BDAFB4}">
  <sheetPr>
    <tabColor theme="9" tint="0.79998168889431442"/>
  </sheetPr>
  <dimension ref="A1:D15"/>
  <sheetViews>
    <sheetView workbookViewId="0"/>
  </sheetViews>
  <sheetFormatPr baseColWidth="10" defaultColWidth="9.1640625" defaultRowHeight="16" x14ac:dyDescent="0.2"/>
  <cols>
    <col min="1" max="2" width="9.1640625" style="1"/>
    <col min="3" max="3" width="3.5" style="1" customWidth="1"/>
    <col min="4" max="12" width="9.1640625" style="1"/>
    <col min="13" max="13" width="11.1640625" style="1" customWidth="1"/>
    <col min="14" max="14" width="10.6640625" style="1" customWidth="1"/>
    <col min="15" max="15" width="12.83203125" style="1" customWidth="1"/>
    <col min="16" max="16" width="4.5" style="1" customWidth="1"/>
    <col min="17" max="16384" width="9.1640625" style="1"/>
  </cols>
  <sheetData>
    <row r="1" spans="1:4" x14ac:dyDescent="0.2">
      <c r="A1" s="1" t="s">
        <v>87</v>
      </c>
    </row>
    <row r="2" spans="1:4" x14ac:dyDescent="0.2">
      <c r="A2" s="5"/>
    </row>
    <row r="3" spans="1:4" x14ac:dyDescent="0.2">
      <c r="A3" s="5"/>
      <c r="D3" s="5"/>
    </row>
    <row r="4" spans="1:4" x14ac:dyDescent="0.2">
      <c r="A4" s="5"/>
    </row>
    <row r="5" spans="1:4" x14ac:dyDescent="0.2">
      <c r="A5" s="5"/>
    </row>
    <row r="6" spans="1:4" x14ac:dyDescent="0.2">
      <c r="A6" s="5"/>
    </row>
    <row r="7" spans="1:4" x14ac:dyDescent="0.2">
      <c r="A7" s="5"/>
    </row>
    <row r="8" spans="1:4" x14ac:dyDescent="0.2">
      <c r="A8" s="5"/>
    </row>
    <row r="9" spans="1:4" x14ac:dyDescent="0.2">
      <c r="A9" s="5"/>
    </row>
    <row r="10" spans="1:4" x14ac:dyDescent="0.2">
      <c r="A10" s="5"/>
    </row>
    <row r="11" spans="1:4" x14ac:dyDescent="0.2">
      <c r="A11" s="5"/>
    </row>
    <row r="12" spans="1:4" x14ac:dyDescent="0.2">
      <c r="A12" s="5"/>
    </row>
    <row r="13" spans="1:4" x14ac:dyDescent="0.2">
      <c r="A13" s="5"/>
    </row>
    <row r="14" spans="1:4" x14ac:dyDescent="0.2">
      <c r="A14" s="5"/>
    </row>
    <row r="15" spans="1:4" x14ac:dyDescent="0.2">
      <c r="A15" s="5"/>
    </row>
  </sheetData>
  <phoneticPr fontId="2" type="noConversion"/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5FE18E-3C30-49FC-B6A0-0A6D3F02EBB0}">
  <dimension ref="A1:O15"/>
  <sheetViews>
    <sheetView workbookViewId="0">
      <selection activeCell="A2" sqref="A2"/>
    </sheetView>
  </sheetViews>
  <sheetFormatPr baseColWidth="10" defaultColWidth="9.1640625" defaultRowHeight="16" x14ac:dyDescent="0.2"/>
  <cols>
    <col min="1" max="2" width="9.1640625" style="1"/>
    <col min="3" max="3" width="3.5" style="1" customWidth="1"/>
    <col min="4" max="12" width="9.1640625" style="1"/>
    <col min="13" max="13" width="11.1640625" style="1" customWidth="1"/>
    <col min="14" max="14" width="10.6640625" style="1" customWidth="1"/>
    <col min="15" max="15" width="12.83203125" style="1" customWidth="1"/>
    <col min="16" max="16" width="4.5" style="1" customWidth="1"/>
    <col min="17" max="16384" width="9.1640625" style="1"/>
  </cols>
  <sheetData>
    <row r="1" spans="1:15" x14ac:dyDescent="0.2">
      <c r="A1" s="1" t="s">
        <v>88</v>
      </c>
    </row>
    <row r="2" spans="1:15" x14ac:dyDescent="0.2">
      <c r="A2" s="2" t="s">
        <v>89</v>
      </c>
    </row>
    <row r="3" spans="1:15" x14ac:dyDescent="0.2">
      <c r="A3" s="2" t="s">
        <v>90</v>
      </c>
    </row>
    <row r="4" spans="1:15" x14ac:dyDescent="0.2">
      <c r="A4" s="2" t="s">
        <v>91</v>
      </c>
      <c r="D4" s="5"/>
    </row>
    <row r="5" spans="1:15" x14ac:dyDescent="0.2">
      <c r="A5" s="2" t="s">
        <v>92</v>
      </c>
      <c r="M5" s="6"/>
      <c r="N5" s="6"/>
      <c r="O5" s="6"/>
    </row>
    <row r="6" spans="1:15" x14ac:dyDescent="0.2">
      <c r="A6" s="2" t="s">
        <v>93</v>
      </c>
    </row>
    <row r="7" spans="1:15" x14ac:dyDescent="0.2">
      <c r="A7" s="2" t="s">
        <v>94</v>
      </c>
    </row>
    <row r="8" spans="1:15" x14ac:dyDescent="0.2">
      <c r="A8" s="2" t="s">
        <v>95</v>
      </c>
    </row>
    <row r="9" spans="1:15" x14ac:dyDescent="0.2">
      <c r="A9" s="2" t="s">
        <v>96</v>
      </c>
    </row>
    <row r="10" spans="1:15" x14ac:dyDescent="0.2">
      <c r="A10" s="2" t="s">
        <v>97</v>
      </c>
    </row>
    <row r="11" spans="1:15" x14ac:dyDescent="0.2">
      <c r="A11" s="2" t="s">
        <v>98</v>
      </c>
    </row>
    <row r="12" spans="1:15" x14ac:dyDescent="0.2">
      <c r="A12" s="2" t="s">
        <v>99</v>
      </c>
    </row>
    <row r="13" spans="1:15" x14ac:dyDescent="0.2">
      <c r="A13" s="2" t="s">
        <v>100</v>
      </c>
    </row>
    <row r="14" spans="1:15" x14ac:dyDescent="0.2">
      <c r="A14" s="2" t="s">
        <v>101</v>
      </c>
    </row>
    <row r="15" spans="1:15" x14ac:dyDescent="0.2">
      <c r="A15" s="2" t="s">
        <v>102</v>
      </c>
    </row>
  </sheetData>
  <phoneticPr fontId="2" type="noConversion"/>
  <pageMargins left="0.7" right="0.7" top="0.75" bottom="0.75" header="0.3" footer="0.3"/>
  <pageSetup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283BC5-D620-4970-8035-9A1157B6300D}">
  <sheetPr>
    <tabColor theme="9" tint="0.79998168889431442"/>
  </sheetPr>
  <dimension ref="A1:P4"/>
  <sheetViews>
    <sheetView workbookViewId="0">
      <selection activeCell="A2" sqref="A2"/>
    </sheetView>
  </sheetViews>
  <sheetFormatPr baseColWidth="10" defaultColWidth="9.1640625" defaultRowHeight="16" x14ac:dyDescent="0.2"/>
  <cols>
    <col min="1" max="3" width="9.1640625" style="1"/>
    <col min="4" max="4" width="3.5" style="1" customWidth="1"/>
    <col min="5" max="5" width="32" style="1" customWidth="1"/>
    <col min="6" max="13" width="9.1640625" style="1"/>
    <col min="14" max="14" width="12.6640625" style="1" customWidth="1"/>
    <col min="15" max="15" width="11.1640625" style="1" customWidth="1"/>
    <col min="16" max="16" width="12.1640625" style="1" customWidth="1"/>
    <col min="17" max="17" width="4.5" style="1" customWidth="1"/>
    <col min="18" max="16384" width="9.1640625" style="1"/>
  </cols>
  <sheetData>
    <row r="1" spans="1:16" x14ac:dyDescent="0.2">
      <c r="A1" s="1" t="s">
        <v>103</v>
      </c>
    </row>
    <row r="2" spans="1:16" x14ac:dyDescent="0.2">
      <c r="A2" s="5"/>
    </row>
    <row r="3" spans="1:16" x14ac:dyDescent="0.2">
      <c r="A3" s="5"/>
      <c r="N3" s="6"/>
      <c r="O3" s="6"/>
      <c r="P3" s="6"/>
    </row>
    <row r="4" spans="1:16" x14ac:dyDescent="0.2">
      <c r="A4" s="5"/>
    </row>
  </sheetData>
  <phoneticPr fontId="2" type="noConversion"/>
  <pageMargins left="0.7" right="0.7" top="0.75" bottom="0.75" header="0.3" footer="0.3"/>
  <pageSetup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DB6341-94DE-401B-89F3-66EA9EB6DBB9}">
  <sheetPr>
    <tabColor theme="9" tint="0.79998168889431442"/>
  </sheetPr>
  <dimension ref="A1:A6"/>
  <sheetViews>
    <sheetView workbookViewId="0">
      <selection activeCell="A3" sqref="A2:A3"/>
    </sheetView>
  </sheetViews>
  <sheetFormatPr baseColWidth="10" defaultColWidth="9.1640625" defaultRowHeight="16" x14ac:dyDescent="0.2"/>
  <cols>
    <col min="1" max="3" width="9.1640625" style="1"/>
    <col min="4" max="4" width="4.5" style="1" customWidth="1"/>
    <col min="5" max="14" width="9.1640625" style="1"/>
    <col min="15" max="16" width="12.1640625" style="1" customWidth="1"/>
    <col min="17" max="17" width="4.5" style="1" customWidth="1"/>
    <col min="18" max="16384" width="9.1640625" style="1"/>
  </cols>
  <sheetData>
    <row r="1" spans="1:1" x14ac:dyDescent="0.2">
      <c r="A1" s="1" t="s">
        <v>104</v>
      </c>
    </row>
    <row r="2" spans="1:1" x14ac:dyDescent="0.2">
      <c r="A2" s="5"/>
    </row>
    <row r="3" spans="1:1" x14ac:dyDescent="0.2">
      <c r="A3" s="5"/>
    </row>
    <row r="4" spans="1:1" x14ac:dyDescent="0.2">
      <c r="A4" s="5"/>
    </row>
    <row r="5" spans="1:1" x14ac:dyDescent="0.2">
      <c r="A5" s="5"/>
    </row>
    <row r="6" spans="1:1" x14ac:dyDescent="0.2">
      <c r="A6" s="5"/>
    </row>
  </sheetData>
  <phoneticPr fontId="2" type="noConversion"/>
  <pageMargins left="0.7" right="0.7" top="0.75" bottom="0.75" header="0.3" footer="0.3"/>
  <pageSetup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BFF4F0-1521-4984-985F-ECB7FE3DE71E}">
  <sheetPr>
    <tabColor theme="9" tint="0.79998168889431442"/>
  </sheetPr>
  <dimension ref="A1:P3"/>
  <sheetViews>
    <sheetView workbookViewId="0">
      <selection activeCell="A2" sqref="A2"/>
    </sheetView>
  </sheetViews>
  <sheetFormatPr baseColWidth="10" defaultColWidth="9.1640625" defaultRowHeight="16" x14ac:dyDescent="0.2"/>
  <cols>
    <col min="1" max="3" width="9.1640625" style="1"/>
    <col min="4" max="4" width="3.5" style="1" customWidth="1"/>
    <col min="5" max="5" width="32" style="1" customWidth="1"/>
    <col min="6" max="13" width="9.1640625" style="1"/>
    <col min="14" max="14" width="12.6640625" style="1" customWidth="1"/>
    <col min="15" max="15" width="11.1640625" style="1" customWidth="1"/>
    <col min="16" max="16" width="12.1640625" style="1" customWidth="1"/>
    <col min="17" max="17" width="4.5" style="1" customWidth="1"/>
    <col min="18" max="16384" width="9.1640625" style="1"/>
  </cols>
  <sheetData>
    <row r="1" spans="1:16" x14ac:dyDescent="0.2">
      <c r="A1" s="1" t="s">
        <v>295</v>
      </c>
    </row>
    <row r="2" spans="1:16" x14ac:dyDescent="0.2">
      <c r="A2" s="5"/>
    </row>
    <row r="3" spans="1:16" x14ac:dyDescent="0.2">
      <c r="A3" s="5"/>
      <c r="N3" s="6"/>
      <c r="O3" s="6"/>
      <c r="P3" s="6"/>
    </row>
  </sheetData>
  <phoneticPr fontId="2" type="noConversion"/>
  <pageMargins left="0.7" right="0.7" top="0.75" bottom="0.75" header="0.3" footer="0.3"/>
  <pageSetup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133666-F0B1-1249-8F2A-F38C8FD1594F}">
  <sheetPr>
    <tabColor theme="9" tint="0.79998168889431442"/>
  </sheetPr>
  <dimension ref="A1:A2"/>
  <sheetViews>
    <sheetView workbookViewId="0">
      <selection activeCell="A2" sqref="A2"/>
    </sheetView>
  </sheetViews>
  <sheetFormatPr baseColWidth="10" defaultColWidth="9.1640625" defaultRowHeight="16" x14ac:dyDescent="0.2"/>
  <cols>
    <col min="1" max="16384" width="9.1640625" style="1"/>
  </cols>
  <sheetData>
    <row r="1" spans="1:1" x14ac:dyDescent="0.2">
      <c r="A1" s="1" t="s">
        <v>299</v>
      </c>
    </row>
    <row r="2" spans="1:1" x14ac:dyDescent="0.2">
      <c r="A2" s="2" t="s">
        <v>215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D5DD37-D888-DA4D-8789-41151AFFDC45}">
  <sheetPr>
    <tabColor theme="9" tint="0.79998168889431442"/>
  </sheetPr>
  <dimension ref="A1:A6"/>
  <sheetViews>
    <sheetView workbookViewId="0">
      <selection activeCell="C6" sqref="C6"/>
    </sheetView>
  </sheetViews>
  <sheetFormatPr baseColWidth="10" defaultColWidth="8.83203125" defaultRowHeight="15" x14ac:dyDescent="0.2"/>
  <sheetData>
    <row r="1" spans="1:1" ht="16" x14ac:dyDescent="0.2">
      <c r="A1" s="1" t="s">
        <v>300</v>
      </c>
    </row>
    <row r="2" spans="1:1" ht="16" x14ac:dyDescent="0.2">
      <c r="A2" s="2" t="s">
        <v>269</v>
      </c>
    </row>
    <row r="3" spans="1:1" ht="16" x14ac:dyDescent="0.2">
      <c r="A3" s="2" t="s">
        <v>270</v>
      </c>
    </row>
    <row r="4" spans="1:1" ht="16" x14ac:dyDescent="0.2">
      <c r="A4" s="2" t="s">
        <v>271</v>
      </c>
    </row>
    <row r="5" spans="1:1" ht="16" x14ac:dyDescent="0.2">
      <c r="A5" s="2" t="s">
        <v>272</v>
      </c>
    </row>
    <row r="6" spans="1:1" ht="16" x14ac:dyDescent="0.2">
      <c r="A6" s="2" t="s">
        <v>273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0D7E5C-CD82-4DB8-A226-3E1C788BA0DC}">
  <sheetPr>
    <tabColor theme="9" tint="0.79998168889431442"/>
  </sheetPr>
  <dimension ref="A1:P4"/>
  <sheetViews>
    <sheetView workbookViewId="0">
      <selection activeCell="E12" sqref="E12"/>
    </sheetView>
  </sheetViews>
  <sheetFormatPr baseColWidth="10" defaultColWidth="9.1640625" defaultRowHeight="16" x14ac:dyDescent="0.2"/>
  <cols>
    <col min="1" max="3" width="9.1640625" style="1"/>
    <col min="4" max="4" width="3.5" style="1" customWidth="1"/>
    <col min="5" max="5" width="32" style="1" customWidth="1"/>
    <col min="6" max="13" width="9.1640625" style="1"/>
    <col min="14" max="14" width="12.6640625" style="1" customWidth="1"/>
    <col min="15" max="15" width="11.1640625" style="1" customWidth="1"/>
    <col min="16" max="16" width="12.1640625" style="1" customWidth="1"/>
    <col min="17" max="17" width="4.5" style="1" customWidth="1"/>
    <col min="18" max="16384" width="9.1640625" style="1"/>
  </cols>
  <sheetData>
    <row r="1" spans="1:16" x14ac:dyDescent="0.2">
      <c r="A1" s="1" t="s">
        <v>107</v>
      </c>
    </row>
    <row r="2" spans="1:16" x14ac:dyDescent="0.2">
      <c r="A2" s="5"/>
    </row>
    <row r="3" spans="1:16" x14ac:dyDescent="0.2">
      <c r="A3" s="5"/>
      <c r="N3" s="6"/>
      <c r="O3" s="6"/>
      <c r="P3" s="6"/>
    </row>
    <row r="4" spans="1:16" x14ac:dyDescent="0.2">
      <c r="A4" s="5"/>
    </row>
  </sheetData>
  <pageMargins left="0.7" right="0.7" top="0.75" bottom="0.75" header="0.3" footer="0.3"/>
  <pageSetup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69D0FC-C70F-430B-9882-945A087A2D92}">
  <sheetPr>
    <tabColor theme="9" tint="0.79998168889431442"/>
  </sheetPr>
  <dimension ref="A1:P7"/>
  <sheetViews>
    <sheetView workbookViewId="0">
      <selection activeCell="A3" sqref="A2:A3"/>
    </sheetView>
  </sheetViews>
  <sheetFormatPr baseColWidth="10" defaultColWidth="9.1640625" defaultRowHeight="16" x14ac:dyDescent="0.2"/>
  <cols>
    <col min="1" max="3" width="9.1640625" style="1"/>
    <col min="4" max="4" width="3.5" style="1" customWidth="1"/>
    <col min="5" max="5" width="32" style="1" customWidth="1"/>
    <col min="6" max="13" width="9.1640625" style="1"/>
    <col min="14" max="14" width="12.6640625" style="1" customWidth="1"/>
    <col min="15" max="15" width="11.1640625" style="1" customWidth="1"/>
    <col min="16" max="16" width="12.1640625" style="1" customWidth="1"/>
    <col min="17" max="17" width="4.5" style="1" customWidth="1"/>
    <col min="18" max="16384" width="9.1640625" style="1"/>
  </cols>
  <sheetData>
    <row r="1" spans="1:16" x14ac:dyDescent="0.2">
      <c r="A1" s="1" t="s">
        <v>108</v>
      </c>
    </row>
    <row r="2" spans="1:16" x14ac:dyDescent="0.2">
      <c r="A2" s="5"/>
    </row>
    <row r="3" spans="1:16" x14ac:dyDescent="0.2">
      <c r="A3" s="5"/>
      <c r="N3" s="6"/>
      <c r="O3" s="6"/>
      <c r="P3" s="6"/>
    </row>
    <row r="4" spans="1:16" x14ac:dyDescent="0.2">
      <c r="A4" s="5"/>
    </row>
    <row r="5" spans="1:16" x14ac:dyDescent="0.2">
      <c r="A5" s="5"/>
    </row>
    <row r="6" spans="1:16" x14ac:dyDescent="0.2">
      <c r="A6" s="5"/>
    </row>
    <row r="7" spans="1:16" x14ac:dyDescent="0.2">
      <c r="A7" s="5"/>
    </row>
  </sheetData>
  <phoneticPr fontId="2" type="noConversion"/>
  <pageMargins left="0.7" right="0.7" top="0.75" bottom="0.75" header="0.3" footer="0.3"/>
  <pageSetup orientation="portrait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820352-28DB-4692-BCE8-9A9846CC4956}">
  <sheetPr>
    <tabColor theme="9" tint="0.79998168889431442"/>
  </sheetPr>
  <dimension ref="A1:P6"/>
  <sheetViews>
    <sheetView workbookViewId="0"/>
  </sheetViews>
  <sheetFormatPr baseColWidth="10" defaultColWidth="9.1640625" defaultRowHeight="16" x14ac:dyDescent="0.2"/>
  <cols>
    <col min="1" max="3" width="9.1640625" style="1"/>
    <col min="4" max="4" width="3.5" style="1" customWidth="1"/>
    <col min="5" max="5" width="32" style="1" customWidth="1"/>
    <col min="6" max="13" width="9.1640625" style="1"/>
    <col min="14" max="14" width="12.6640625" style="1" customWidth="1"/>
    <col min="15" max="15" width="11.1640625" style="1" customWidth="1"/>
    <col min="16" max="16" width="12.1640625" style="1" customWidth="1"/>
    <col min="17" max="17" width="4.5" style="1" customWidth="1"/>
    <col min="18" max="16384" width="9.1640625" style="1"/>
  </cols>
  <sheetData>
    <row r="1" spans="1:16" x14ac:dyDescent="0.2">
      <c r="A1" s="1" t="s">
        <v>108</v>
      </c>
    </row>
    <row r="2" spans="1:16" x14ac:dyDescent="0.2">
      <c r="A2" s="2" t="s">
        <v>109</v>
      </c>
    </row>
    <row r="3" spans="1:16" x14ac:dyDescent="0.2">
      <c r="A3" s="2" t="s">
        <v>110</v>
      </c>
      <c r="N3" s="6"/>
      <c r="O3" s="6"/>
      <c r="P3" s="6"/>
    </row>
    <row r="4" spans="1:16" x14ac:dyDescent="0.2">
      <c r="A4" s="2" t="s">
        <v>230</v>
      </c>
    </row>
    <row r="5" spans="1:16" x14ac:dyDescent="0.2">
      <c r="A5" s="2" t="s">
        <v>231</v>
      </c>
    </row>
    <row r="6" spans="1:16" x14ac:dyDescent="0.2">
      <c r="A6" s="2" t="s">
        <v>274</v>
      </c>
    </row>
  </sheetData>
  <autoFilter ref="A1:A5" xr:uid="{2C820352-28DB-4692-BCE8-9A9846CC4956}"/>
  <pageMargins left="0.7" right="0.7" top="0.75" bottom="0.75" header="0.3" footer="0.3"/>
  <pageSetup orientation="portrait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85E027-57F4-45A3-888B-4C0E11BBDC89}">
  <sheetPr>
    <tabColor theme="9" tint="0.79998168889431442"/>
  </sheetPr>
  <dimension ref="A1:P4"/>
  <sheetViews>
    <sheetView workbookViewId="0"/>
  </sheetViews>
  <sheetFormatPr baseColWidth="10" defaultColWidth="9.1640625" defaultRowHeight="16" x14ac:dyDescent="0.2"/>
  <cols>
    <col min="1" max="3" width="9.1640625" style="1"/>
    <col min="4" max="4" width="3.5" style="1" customWidth="1"/>
    <col min="5" max="5" width="32" style="1" customWidth="1"/>
    <col min="6" max="13" width="9.1640625" style="1"/>
    <col min="14" max="14" width="12.6640625" style="1" customWidth="1"/>
    <col min="15" max="15" width="11.1640625" style="1" customWidth="1"/>
    <col min="16" max="16" width="12.1640625" style="1" customWidth="1"/>
    <col min="17" max="17" width="4.5" style="1" customWidth="1"/>
    <col min="18" max="16384" width="9.1640625" style="1"/>
  </cols>
  <sheetData>
    <row r="1" spans="1:16" x14ac:dyDescent="0.2">
      <c r="A1" s="1" t="s">
        <v>111</v>
      </c>
    </row>
    <row r="2" spans="1:16" x14ac:dyDescent="0.2">
      <c r="A2" s="5"/>
    </row>
    <row r="3" spans="1:16" x14ac:dyDescent="0.2">
      <c r="A3" s="5"/>
      <c r="N3" s="6"/>
      <c r="O3" s="6"/>
      <c r="P3" s="6"/>
    </row>
    <row r="4" spans="1:16" x14ac:dyDescent="0.2">
      <c r="A4" s="5"/>
    </row>
  </sheetData>
  <pageMargins left="0.7" right="0.7" top="0.75" bottom="0.75" header="0.3" footer="0.3"/>
  <pageSetup orientation="portrait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F8A809-1347-42CB-A460-105FB2B000F6}">
  <sheetPr>
    <tabColor theme="9" tint="0.79998168889431442"/>
  </sheetPr>
  <dimension ref="A1:P30"/>
  <sheetViews>
    <sheetView workbookViewId="0">
      <selection activeCell="L26" sqref="L26"/>
    </sheetView>
  </sheetViews>
  <sheetFormatPr baseColWidth="10" defaultColWidth="9.1640625" defaultRowHeight="16" x14ac:dyDescent="0.2"/>
  <cols>
    <col min="1" max="3" width="9.1640625" style="1"/>
    <col min="4" max="4" width="3.5" style="1" customWidth="1"/>
    <col min="5" max="5" width="32" style="1" customWidth="1"/>
    <col min="6" max="13" width="9.1640625" style="1"/>
    <col min="14" max="14" width="12.6640625" style="1" customWidth="1"/>
    <col min="15" max="15" width="11.1640625" style="1" customWidth="1"/>
    <col min="16" max="16" width="12.1640625" style="1" customWidth="1"/>
    <col min="17" max="17" width="4.5" style="1" customWidth="1"/>
    <col min="18" max="16384" width="9.1640625" style="1"/>
  </cols>
  <sheetData>
    <row r="1" spans="1:16" x14ac:dyDescent="0.2">
      <c r="A1" s="1" t="s">
        <v>112</v>
      </c>
    </row>
    <row r="2" spans="1:16" x14ac:dyDescent="0.2">
      <c r="A2" s="5"/>
    </row>
    <row r="3" spans="1:16" x14ac:dyDescent="0.2">
      <c r="A3" s="5"/>
      <c r="N3" s="6"/>
      <c r="O3" s="6"/>
      <c r="P3" s="6"/>
    </row>
    <row r="4" spans="1:16" x14ac:dyDescent="0.2">
      <c r="A4" s="5"/>
    </row>
    <row r="5" spans="1:16" x14ac:dyDescent="0.2">
      <c r="A5" s="5"/>
    </row>
    <row r="6" spans="1:16" x14ac:dyDescent="0.2">
      <c r="A6" s="5"/>
    </row>
    <row r="7" spans="1:16" x14ac:dyDescent="0.2">
      <c r="A7" s="5"/>
    </row>
    <row r="8" spans="1:16" x14ac:dyDescent="0.2">
      <c r="A8" s="5"/>
    </row>
    <row r="9" spans="1:16" x14ac:dyDescent="0.2">
      <c r="A9" s="5"/>
    </row>
    <row r="10" spans="1:16" x14ac:dyDescent="0.2">
      <c r="A10" s="5"/>
    </row>
    <row r="11" spans="1:16" x14ac:dyDescent="0.2">
      <c r="A11" s="5"/>
    </row>
    <row r="12" spans="1:16" x14ac:dyDescent="0.2">
      <c r="A12" s="5"/>
    </row>
    <row r="13" spans="1:16" x14ac:dyDescent="0.2">
      <c r="A13" s="5"/>
    </row>
    <row r="14" spans="1:16" x14ac:dyDescent="0.2">
      <c r="A14" s="5"/>
    </row>
    <row r="15" spans="1:16" x14ac:dyDescent="0.2">
      <c r="A15" s="5"/>
    </row>
    <row r="16" spans="1:16" x14ac:dyDescent="0.2">
      <c r="A16" s="5"/>
    </row>
    <row r="17" spans="1:1" x14ac:dyDescent="0.2">
      <c r="A17" s="5"/>
    </row>
    <row r="18" spans="1:1" x14ac:dyDescent="0.2">
      <c r="A18" s="5"/>
    </row>
    <row r="19" spans="1:1" x14ac:dyDescent="0.2">
      <c r="A19" s="5"/>
    </row>
    <row r="20" spans="1:1" x14ac:dyDescent="0.2">
      <c r="A20" s="5"/>
    </row>
    <row r="21" spans="1:1" x14ac:dyDescent="0.2">
      <c r="A21" s="5"/>
    </row>
    <row r="22" spans="1:1" x14ac:dyDescent="0.2">
      <c r="A22" s="5"/>
    </row>
    <row r="23" spans="1:1" x14ac:dyDescent="0.2">
      <c r="A23" s="5"/>
    </row>
    <row r="24" spans="1:1" x14ac:dyDescent="0.2">
      <c r="A24" s="5"/>
    </row>
    <row r="25" spans="1:1" x14ac:dyDescent="0.2">
      <c r="A25" s="5"/>
    </row>
    <row r="26" spans="1:1" x14ac:dyDescent="0.2">
      <c r="A26" s="5"/>
    </row>
    <row r="27" spans="1:1" x14ac:dyDescent="0.2">
      <c r="A27" s="5"/>
    </row>
    <row r="28" spans="1:1" x14ac:dyDescent="0.2">
      <c r="A28" s="5"/>
    </row>
    <row r="29" spans="1:1" x14ac:dyDescent="0.2">
      <c r="A29" s="5"/>
    </row>
    <row r="30" spans="1:1" x14ac:dyDescent="0.2">
      <c r="A30" s="5"/>
    </row>
  </sheetData>
  <phoneticPr fontId="2" type="noConversion"/>
  <pageMargins left="0.7" right="0.7" top="0.75" bottom="0.75" header="0.3" footer="0.3"/>
  <pageSetup orientation="portrait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58F52A-57D4-400C-9B2D-0CDF39E9349F}">
  <sheetPr>
    <tabColor theme="9" tint="0.79998168889431442"/>
  </sheetPr>
  <dimension ref="A1:A6"/>
  <sheetViews>
    <sheetView workbookViewId="0">
      <selection activeCell="A5" sqref="A5"/>
    </sheetView>
  </sheetViews>
  <sheetFormatPr baseColWidth="10" defaultColWidth="9.1640625" defaultRowHeight="16" x14ac:dyDescent="0.2"/>
  <cols>
    <col min="1" max="3" width="9.1640625" style="1"/>
    <col min="4" max="4" width="3.5" style="1" customWidth="1"/>
    <col min="5" max="5" width="32" style="1" customWidth="1"/>
    <col min="6" max="13" width="9.1640625" style="1"/>
    <col min="14" max="14" width="12.6640625" style="1" customWidth="1"/>
    <col min="15" max="15" width="11.1640625" style="1" customWidth="1"/>
    <col min="16" max="16" width="12.1640625" style="1" customWidth="1"/>
    <col min="17" max="17" width="4.5" style="1" customWidth="1"/>
    <col min="18" max="16384" width="9.1640625" style="1"/>
  </cols>
  <sheetData>
    <row r="1" spans="1:1" x14ac:dyDescent="0.2">
      <c r="A1" s="1" t="s">
        <v>113</v>
      </c>
    </row>
    <row r="2" spans="1:1" x14ac:dyDescent="0.2">
      <c r="A2" s="2" t="s">
        <v>114</v>
      </c>
    </row>
    <row r="3" spans="1:1" x14ac:dyDescent="0.2">
      <c r="A3" s="2" t="s">
        <v>115</v>
      </c>
    </row>
    <row r="4" spans="1:1" x14ac:dyDescent="0.2">
      <c r="A4" s="2" t="s">
        <v>116</v>
      </c>
    </row>
    <row r="5" spans="1:1" x14ac:dyDescent="0.2">
      <c r="A5" s="2" t="s">
        <v>117</v>
      </c>
    </row>
    <row r="6" spans="1:1" x14ac:dyDescent="0.2">
      <c r="A6" s="2" t="s">
        <v>118</v>
      </c>
    </row>
  </sheetData>
  <pageMargins left="0.7" right="0.7" top="0.75" bottom="0.75" header="0.3" footer="0.3"/>
  <pageSetup orientation="portrait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3D1DC6-FF6C-4D1F-9E23-B1795807F580}">
  <sheetPr>
    <tabColor theme="9" tint="0.79998168889431442"/>
  </sheetPr>
  <dimension ref="A1:P7"/>
  <sheetViews>
    <sheetView workbookViewId="0">
      <selection activeCell="A5" sqref="A5"/>
    </sheetView>
  </sheetViews>
  <sheetFormatPr baseColWidth="10" defaultColWidth="9.1640625" defaultRowHeight="16" x14ac:dyDescent="0.2"/>
  <cols>
    <col min="1" max="3" width="9.1640625" style="1"/>
    <col min="4" max="4" width="3.5" style="1" customWidth="1"/>
    <col min="5" max="5" width="32" style="1" customWidth="1"/>
    <col min="6" max="13" width="9.1640625" style="1"/>
    <col min="14" max="14" width="12.6640625" style="1" customWidth="1"/>
    <col min="15" max="15" width="11.1640625" style="1" customWidth="1"/>
    <col min="16" max="16" width="12.1640625" style="1" customWidth="1"/>
    <col min="17" max="17" width="4.5" style="1" customWidth="1"/>
    <col min="18" max="16384" width="9.1640625" style="1"/>
  </cols>
  <sheetData>
    <row r="1" spans="1:16" x14ac:dyDescent="0.2">
      <c r="A1" s="1" t="s">
        <v>119</v>
      </c>
    </row>
    <row r="2" spans="1:16" x14ac:dyDescent="0.2">
      <c r="A2" s="2" t="s">
        <v>120</v>
      </c>
    </row>
    <row r="3" spans="1:16" x14ac:dyDescent="0.2">
      <c r="A3" s="2" t="s">
        <v>121</v>
      </c>
      <c r="N3" s="6"/>
      <c r="O3" s="6"/>
      <c r="P3" s="6"/>
    </row>
    <row r="4" spans="1:16" x14ac:dyDescent="0.2">
      <c r="A4" s="2" t="s">
        <v>122</v>
      </c>
    </row>
    <row r="5" spans="1:16" x14ac:dyDescent="0.2">
      <c r="A5" s="2" t="s">
        <v>123</v>
      </c>
    </row>
    <row r="6" spans="1:16" x14ac:dyDescent="0.2">
      <c r="A6" s="5"/>
    </row>
    <row r="7" spans="1:16" x14ac:dyDescent="0.2">
      <c r="A7" s="5"/>
    </row>
  </sheetData>
  <pageMargins left="0.7" right="0.7" top="0.75" bottom="0.75" header="0.3" footer="0.3"/>
  <pageSetup orientation="portrait"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75646C-6D5B-41D2-BD66-0AABE8C35A83}">
  <sheetPr>
    <tabColor theme="9" tint="0.79998168889431442"/>
  </sheetPr>
  <dimension ref="A1:P7"/>
  <sheetViews>
    <sheetView workbookViewId="0">
      <selection activeCell="A5" sqref="A5"/>
    </sheetView>
  </sheetViews>
  <sheetFormatPr baseColWidth="10" defaultColWidth="9.1640625" defaultRowHeight="16" x14ac:dyDescent="0.2"/>
  <cols>
    <col min="1" max="3" width="9.1640625" style="1"/>
    <col min="4" max="4" width="3.5" style="1" customWidth="1"/>
    <col min="5" max="5" width="32" style="1" customWidth="1"/>
    <col min="6" max="13" width="9.1640625" style="1"/>
    <col min="14" max="14" width="12.6640625" style="1" customWidth="1"/>
    <col min="15" max="15" width="11.1640625" style="1" customWidth="1"/>
    <col min="16" max="16" width="12.1640625" style="1" customWidth="1"/>
    <col min="17" max="17" width="4.5" style="1" customWidth="1"/>
    <col min="18" max="16384" width="9.1640625" style="1"/>
  </cols>
  <sheetData>
    <row r="1" spans="1:16" x14ac:dyDescent="0.2">
      <c r="A1" s="1" t="s">
        <v>124</v>
      </c>
    </row>
    <row r="2" spans="1:16" x14ac:dyDescent="0.2">
      <c r="A2" s="2" t="s">
        <v>125</v>
      </c>
    </row>
    <row r="3" spans="1:16" x14ac:dyDescent="0.2">
      <c r="A3" s="2" t="s">
        <v>126</v>
      </c>
      <c r="N3" s="6"/>
      <c r="O3" s="6"/>
      <c r="P3" s="6"/>
    </row>
    <row r="4" spans="1:16" x14ac:dyDescent="0.2">
      <c r="A4" s="2" t="s">
        <v>127</v>
      </c>
    </row>
    <row r="5" spans="1:16" x14ac:dyDescent="0.2">
      <c r="A5" s="2" t="s">
        <v>128</v>
      </c>
    </row>
    <row r="6" spans="1:16" x14ac:dyDescent="0.2">
      <c r="A6" s="5"/>
    </row>
    <row r="7" spans="1:16" x14ac:dyDescent="0.2">
      <c r="A7" s="5"/>
    </row>
  </sheetData>
  <pageMargins left="0.7" right="0.7" top="0.75" bottom="0.75" header="0.3" footer="0.3"/>
  <pageSetup orientation="portrait"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91EF25-02B9-4EAE-A04E-51FF0E4ADDCA}">
  <sheetPr>
    <tabColor theme="9" tint="0.79998168889431442"/>
  </sheetPr>
  <dimension ref="A1:P7"/>
  <sheetViews>
    <sheetView workbookViewId="0">
      <selection activeCell="A5" sqref="A5"/>
    </sheetView>
  </sheetViews>
  <sheetFormatPr baseColWidth="10" defaultColWidth="9.1640625" defaultRowHeight="16" x14ac:dyDescent="0.2"/>
  <cols>
    <col min="1" max="3" width="9.1640625" style="1"/>
    <col min="4" max="4" width="3.5" style="1" customWidth="1"/>
    <col min="5" max="5" width="32" style="1" customWidth="1"/>
    <col min="6" max="13" width="9.1640625" style="1"/>
    <col min="14" max="14" width="12.6640625" style="1" customWidth="1"/>
    <col min="15" max="15" width="11.1640625" style="1" customWidth="1"/>
    <col min="16" max="16" width="12.1640625" style="1" customWidth="1"/>
    <col min="17" max="17" width="4.5" style="1" customWidth="1"/>
    <col min="18" max="16384" width="9.1640625" style="1"/>
  </cols>
  <sheetData>
    <row r="1" spans="1:16" x14ac:dyDescent="0.2">
      <c r="A1" s="1" t="s">
        <v>129</v>
      </c>
    </row>
    <row r="2" spans="1:16" x14ac:dyDescent="0.2">
      <c r="A2" s="2" t="s">
        <v>130</v>
      </c>
    </row>
    <row r="3" spans="1:16" x14ac:dyDescent="0.2">
      <c r="A3" s="2" t="s">
        <v>131</v>
      </c>
      <c r="N3" s="6"/>
      <c r="O3" s="6"/>
      <c r="P3" s="6"/>
    </row>
    <row r="4" spans="1:16" x14ac:dyDescent="0.2">
      <c r="A4" s="2" t="s">
        <v>132</v>
      </c>
    </row>
    <row r="5" spans="1:16" x14ac:dyDescent="0.2">
      <c r="A5" s="2" t="s">
        <v>133</v>
      </c>
    </row>
    <row r="6" spans="1:16" x14ac:dyDescent="0.2">
      <c r="A6" s="5"/>
    </row>
    <row r="7" spans="1:16" x14ac:dyDescent="0.2">
      <c r="A7" s="5"/>
    </row>
  </sheetData>
  <pageMargins left="0.7" right="0.7" top="0.75" bottom="0.75" header="0.3" footer="0.3"/>
  <pageSetup orientation="portrait"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ADE56A-3552-4283-86E6-D2B76E77A8C0}">
  <sheetPr>
    <tabColor theme="9" tint="0.79998168889431442"/>
  </sheetPr>
  <dimension ref="A1:K6"/>
  <sheetViews>
    <sheetView workbookViewId="0">
      <selection activeCell="A2" sqref="A2"/>
    </sheetView>
  </sheetViews>
  <sheetFormatPr baseColWidth="10" defaultColWidth="9.1640625" defaultRowHeight="16" x14ac:dyDescent="0.2"/>
  <cols>
    <col min="1" max="1" width="15.5" style="1" customWidth="1"/>
    <col min="2" max="16384" width="9.1640625" style="1"/>
  </cols>
  <sheetData>
    <row r="1" spans="1:11" x14ac:dyDescent="0.2">
      <c r="A1" s="1" t="s">
        <v>134</v>
      </c>
    </row>
    <row r="2" spans="1:11" s="4" customFormat="1" x14ac:dyDescent="0.2">
      <c r="A2" s="6" t="s">
        <v>135</v>
      </c>
      <c r="B2" s="6"/>
      <c r="C2" s="6"/>
      <c r="D2" s="6"/>
      <c r="E2" s="6"/>
      <c r="F2" s="6"/>
      <c r="G2" s="6"/>
      <c r="H2" s="6"/>
      <c r="I2" s="6"/>
      <c r="J2" s="6"/>
      <c r="K2" s="6"/>
    </row>
    <row r="3" spans="1:11" s="4" customFormat="1" x14ac:dyDescent="0.2">
      <c r="A3" s="6"/>
    </row>
    <row r="4" spans="1:11" s="4" customFormat="1" x14ac:dyDescent="0.2">
      <c r="A4" s="6"/>
    </row>
    <row r="5" spans="1:11" s="4" customFormat="1" x14ac:dyDescent="0.2">
      <c r="A5" s="6"/>
    </row>
    <row r="6" spans="1:11" s="4" customFormat="1" x14ac:dyDescent="0.2">
      <c r="A6" s="6"/>
    </row>
  </sheetData>
  <phoneticPr fontId="2" type="noConversion"/>
  <pageMargins left="0.7" right="0.7" top="0.75" bottom="0.75" header="0.3" footer="0.3"/>
  <pageSetup orientation="portrait" r:id="rId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44EC57-024F-431A-B1C2-58810C4F9E47}">
  <sheetPr>
    <tabColor theme="9" tint="0.79998168889431442"/>
  </sheetPr>
  <dimension ref="A1:K3"/>
  <sheetViews>
    <sheetView workbookViewId="0">
      <selection activeCell="A2" sqref="A2"/>
    </sheetView>
  </sheetViews>
  <sheetFormatPr baseColWidth="10" defaultColWidth="9.1640625" defaultRowHeight="16" x14ac:dyDescent="0.2"/>
  <cols>
    <col min="1" max="1" width="16.83203125" style="1" customWidth="1"/>
    <col min="2" max="16384" width="9.1640625" style="1"/>
  </cols>
  <sheetData>
    <row r="1" spans="1:11" x14ac:dyDescent="0.2">
      <c r="A1" s="1" t="s">
        <v>136</v>
      </c>
    </row>
    <row r="2" spans="1:11" s="4" customFormat="1" x14ac:dyDescent="0.2">
      <c r="A2" s="6" t="s">
        <v>137</v>
      </c>
      <c r="B2" s="6"/>
      <c r="C2" s="6"/>
      <c r="D2" s="6"/>
      <c r="E2" s="6"/>
      <c r="F2" s="6"/>
      <c r="G2" s="6"/>
      <c r="H2" s="6"/>
      <c r="I2" s="6"/>
      <c r="J2" s="6"/>
      <c r="K2" s="6"/>
    </row>
    <row r="3" spans="1:11" s="4" customFormat="1" x14ac:dyDescent="0.2">
      <c r="A3" s="6"/>
      <c r="K3" s="6"/>
    </row>
  </sheetData>
  <phoneticPr fontId="2" type="noConversion"/>
  <pageMargins left="0.7" right="0.7" top="0.75" bottom="0.75" header="0.3" footer="0.3"/>
  <pageSetup orientation="portrait" r:id="rId1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10C60C-760C-4F1B-AB9A-B14851122200}">
  <sheetPr>
    <tabColor theme="9" tint="0.79998168889431442"/>
  </sheetPr>
  <dimension ref="A1:B3"/>
  <sheetViews>
    <sheetView workbookViewId="0">
      <selection activeCell="A2" sqref="A2"/>
    </sheetView>
  </sheetViews>
  <sheetFormatPr baseColWidth="10" defaultColWidth="9.1640625" defaultRowHeight="16" x14ac:dyDescent="0.2"/>
  <cols>
    <col min="1" max="1" width="17.5" style="1" customWidth="1"/>
    <col min="2" max="16384" width="9.1640625" style="1"/>
  </cols>
  <sheetData>
    <row r="1" spans="1:2" x14ac:dyDescent="0.2">
      <c r="A1" s="1" t="s">
        <v>138</v>
      </c>
    </row>
    <row r="2" spans="1:2" s="4" customFormat="1" x14ac:dyDescent="0.2">
      <c r="A2" s="6" t="s">
        <v>137</v>
      </c>
      <c r="B2" s="6"/>
    </row>
    <row r="3" spans="1:2" x14ac:dyDescent="0.2">
      <c r="A3" s="6"/>
      <c r="B3" s="4"/>
    </row>
  </sheetData>
  <pageMargins left="0.7" right="0.7" top="0.75" bottom="0.75" header="0.3" footer="0.3"/>
  <pageSetup orientation="portrait" r:id="rId1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99EB22-0DA7-4F9B-9913-FB50F464ABD0}">
  <sheetPr>
    <tabColor theme="9" tint="0.79998168889431442"/>
  </sheetPr>
  <dimension ref="A1:K12"/>
  <sheetViews>
    <sheetView zoomScaleNormal="100" workbookViewId="0">
      <selection activeCell="H16" sqref="H16"/>
    </sheetView>
  </sheetViews>
  <sheetFormatPr baseColWidth="10" defaultColWidth="9.1640625" defaultRowHeight="16" x14ac:dyDescent="0.2"/>
  <cols>
    <col min="1" max="1" width="15.1640625" style="1" customWidth="1"/>
    <col min="2" max="16384" width="9.1640625" style="1"/>
  </cols>
  <sheetData>
    <row r="1" spans="1:11" x14ac:dyDescent="0.2">
      <c r="A1" s="1" t="s">
        <v>139</v>
      </c>
    </row>
    <row r="2" spans="1:11" s="4" customFormat="1" x14ac:dyDescent="0.2">
      <c r="A2" s="6" t="s">
        <v>140</v>
      </c>
      <c r="B2" s="6"/>
      <c r="C2" s="6"/>
      <c r="D2" s="6"/>
      <c r="E2" s="6"/>
      <c r="F2" s="6"/>
      <c r="G2" s="6"/>
      <c r="H2" s="6"/>
      <c r="I2" s="6"/>
      <c r="J2" s="6"/>
      <c r="K2" s="6"/>
    </row>
    <row r="3" spans="1:11" s="4" customFormat="1" x14ac:dyDescent="0.2">
      <c r="A3" s="6"/>
    </row>
    <row r="4" spans="1:11" s="4" customFormat="1" x14ac:dyDescent="0.2">
      <c r="A4" s="6"/>
    </row>
    <row r="5" spans="1:11" s="4" customFormat="1" x14ac:dyDescent="0.2">
      <c r="A5" s="6"/>
    </row>
    <row r="6" spans="1:11" s="4" customFormat="1" x14ac:dyDescent="0.2">
      <c r="A6" s="6"/>
    </row>
    <row r="7" spans="1:11" s="4" customFormat="1" x14ac:dyDescent="0.2">
      <c r="A7" s="6"/>
    </row>
    <row r="8" spans="1:11" x14ac:dyDescent="0.2">
      <c r="A8" s="6"/>
      <c r="B8" s="4"/>
      <c r="C8" s="4"/>
      <c r="D8" s="4"/>
      <c r="E8" s="4"/>
      <c r="F8" s="4"/>
      <c r="G8" s="4"/>
      <c r="H8" s="4"/>
      <c r="I8" s="4"/>
      <c r="J8" s="4"/>
      <c r="K8" s="4"/>
    </row>
    <row r="9" spans="1:11" ht="15" customHeight="1" x14ac:dyDescent="0.2">
      <c r="A9" s="6"/>
      <c r="B9" s="4"/>
      <c r="C9" s="4"/>
      <c r="D9" s="4"/>
      <c r="E9" s="4"/>
      <c r="F9" s="4"/>
      <c r="G9" s="4"/>
      <c r="H9" s="4"/>
      <c r="I9" s="4"/>
      <c r="J9" s="4"/>
      <c r="K9" s="4"/>
    </row>
    <row r="10" spans="1:11" x14ac:dyDescent="0.2">
      <c r="A10" s="6"/>
      <c r="B10" s="4"/>
      <c r="C10" s="4"/>
      <c r="D10" s="4"/>
      <c r="E10" s="4"/>
      <c r="F10" s="4"/>
      <c r="G10" s="4"/>
      <c r="H10" s="4"/>
      <c r="I10" s="4"/>
      <c r="J10" s="4"/>
      <c r="K10" s="4"/>
    </row>
    <row r="11" spans="1:11" x14ac:dyDescent="0.2">
      <c r="A11" s="6"/>
      <c r="B11" s="4"/>
      <c r="C11" s="4"/>
      <c r="D11" s="4"/>
      <c r="E11" s="4"/>
      <c r="F11" s="4"/>
      <c r="G11" s="4"/>
      <c r="H11" s="4"/>
      <c r="I11" s="4"/>
      <c r="J11" s="4"/>
      <c r="K11" s="4"/>
    </row>
    <row r="12" spans="1:11" x14ac:dyDescent="0.2">
      <c r="A12" s="6"/>
      <c r="B12" s="4"/>
      <c r="C12" s="4"/>
      <c r="D12" s="4"/>
      <c r="E12" s="4"/>
      <c r="F12" s="4"/>
      <c r="G12" s="4"/>
      <c r="H12" s="4"/>
      <c r="I12" s="4"/>
      <c r="J12" s="4"/>
      <c r="K12" s="4"/>
    </row>
  </sheetData>
  <phoneticPr fontId="2" type="noConversion"/>
  <pageMargins left="0.7" right="0.7" top="0.75" bottom="0.75" header="0.3" footer="0.3"/>
  <pageSetup orientation="portrait" r:id="rId1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7676BC-0D9E-4EC2-B7DF-9077076036FD}">
  <sheetPr>
    <tabColor theme="9" tint="0.79998168889431442"/>
  </sheetPr>
  <dimension ref="A1:B12"/>
  <sheetViews>
    <sheetView workbookViewId="0">
      <selection activeCell="A2" sqref="A2"/>
    </sheetView>
  </sheetViews>
  <sheetFormatPr baseColWidth="10" defaultColWidth="9.1640625" defaultRowHeight="16" x14ac:dyDescent="0.2"/>
  <cols>
    <col min="1" max="1" width="15.6640625" style="1" customWidth="1"/>
    <col min="2" max="16384" width="9.1640625" style="1"/>
  </cols>
  <sheetData>
    <row r="1" spans="1:2" x14ac:dyDescent="0.2">
      <c r="A1" s="1" t="s">
        <v>141</v>
      </c>
    </row>
    <row r="2" spans="1:2" s="4" customFormat="1" x14ac:dyDescent="0.2">
      <c r="A2" s="6" t="s">
        <v>140</v>
      </c>
      <c r="B2" s="6"/>
    </row>
    <row r="3" spans="1:2" x14ac:dyDescent="0.2">
      <c r="A3" s="6"/>
      <c r="B3" s="4"/>
    </row>
    <row r="4" spans="1:2" x14ac:dyDescent="0.2">
      <c r="A4" s="6"/>
      <c r="B4" s="4"/>
    </row>
    <row r="5" spans="1:2" x14ac:dyDescent="0.2">
      <c r="A5" s="6"/>
      <c r="B5" s="4"/>
    </row>
    <row r="6" spans="1:2" x14ac:dyDescent="0.2">
      <c r="A6" s="6"/>
      <c r="B6" s="4"/>
    </row>
    <row r="7" spans="1:2" x14ac:dyDescent="0.2">
      <c r="A7" s="6"/>
      <c r="B7" s="4"/>
    </row>
    <row r="8" spans="1:2" x14ac:dyDescent="0.2">
      <c r="A8" s="6"/>
      <c r="B8" s="4"/>
    </row>
    <row r="9" spans="1:2" x14ac:dyDescent="0.2">
      <c r="A9" s="6"/>
      <c r="B9" s="4"/>
    </row>
    <row r="10" spans="1:2" x14ac:dyDescent="0.2">
      <c r="A10" s="6"/>
      <c r="B10" s="4"/>
    </row>
    <row r="11" spans="1:2" x14ac:dyDescent="0.2">
      <c r="A11" s="6"/>
      <c r="B11" s="4"/>
    </row>
    <row r="12" spans="1:2" x14ac:dyDescent="0.2">
      <c r="A12" s="6"/>
      <c r="B12" s="4"/>
    </row>
  </sheetData>
  <pageMargins left="0.7" right="0.7" top="0.75" bottom="0.75" header="0.3" footer="0.3"/>
  <pageSetup orientation="portrait" r:id="rId1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47A77C-3EC6-43F3-933A-7BFD421AB782}">
  <sheetPr>
    <tabColor theme="9" tint="0.79998168889431442"/>
  </sheetPr>
  <dimension ref="A1:C12"/>
  <sheetViews>
    <sheetView workbookViewId="0">
      <selection activeCell="F9" sqref="F9"/>
    </sheetView>
  </sheetViews>
  <sheetFormatPr baseColWidth="10" defaultColWidth="9.1640625" defaultRowHeight="16" x14ac:dyDescent="0.2"/>
  <cols>
    <col min="1" max="1" width="14.6640625" style="1" customWidth="1"/>
    <col min="2" max="16384" width="9.1640625" style="1"/>
  </cols>
  <sheetData>
    <row r="1" spans="1:3" x14ac:dyDescent="0.2">
      <c r="A1" s="1" t="s">
        <v>142</v>
      </c>
    </row>
    <row r="2" spans="1:3" s="4" customFormat="1" x14ac:dyDescent="0.2">
      <c r="A2" s="6" t="s">
        <v>140</v>
      </c>
      <c r="B2" s="6"/>
      <c r="C2" s="6"/>
    </row>
    <row r="3" spans="1:3" x14ac:dyDescent="0.2">
      <c r="A3" s="6"/>
      <c r="B3" s="4"/>
      <c r="C3" s="4"/>
    </row>
    <row r="4" spans="1:3" x14ac:dyDescent="0.2">
      <c r="A4" s="6"/>
      <c r="B4" s="4"/>
      <c r="C4" s="4"/>
    </row>
    <row r="5" spans="1:3" x14ac:dyDescent="0.2">
      <c r="A5" s="6"/>
      <c r="B5" s="4"/>
      <c r="C5" s="4"/>
    </row>
    <row r="6" spans="1:3" x14ac:dyDescent="0.2">
      <c r="A6" s="6"/>
      <c r="B6" s="4"/>
      <c r="C6" s="4"/>
    </row>
    <row r="7" spans="1:3" x14ac:dyDescent="0.2">
      <c r="A7" s="6"/>
      <c r="B7" s="4"/>
      <c r="C7" s="4"/>
    </row>
    <row r="8" spans="1:3" x14ac:dyDescent="0.2">
      <c r="A8" s="6"/>
      <c r="B8" s="4"/>
      <c r="C8" s="4"/>
    </row>
    <row r="9" spans="1:3" x14ac:dyDescent="0.2">
      <c r="A9" s="6"/>
      <c r="B9" s="4"/>
      <c r="C9" s="4"/>
    </row>
    <row r="10" spans="1:3" x14ac:dyDescent="0.2">
      <c r="A10" s="6"/>
      <c r="B10" s="4"/>
      <c r="C10" s="4"/>
    </row>
    <row r="11" spans="1:3" x14ac:dyDescent="0.2">
      <c r="A11" s="6"/>
      <c r="B11" s="4"/>
      <c r="C11" s="4"/>
    </row>
    <row r="12" spans="1:3" x14ac:dyDescent="0.2">
      <c r="A12" s="6"/>
      <c r="B12" s="4"/>
      <c r="C12" s="4"/>
    </row>
  </sheetData>
  <phoneticPr fontId="2" type="noConversion"/>
  <pageMargins left="0.7" right="0.7" top="0.75" bottom="0.75" header="0.3" footer="0.3"/>
  <pageSetup orientation="portrait" r:id="rId1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8AC5F8-3DBD-4182-95AF-F72C7FA4D2FF}">
  <sheetPr>
    <tabColor theme="9" tint="0.79998168889431442"/>
  </sheetPr>
  <dimension ref="A1:C12"/>
  <sheetViews>
    <sheetView workbookViewId="0">
      <selection activeCell="A2" sqref="A2"/>
    </sheetView>
  </sheetViews>
  <sheetFormatPr baseColWidth="10" defaultColWidth="9.1640625" defaultRowHeight="16" x14ac:dyDescent="0.2"/>
  <cols>
    <col min="1" max="1" width="15" style="1" customWidth="1"/>
    <col min="2" max="16384" width="9.1640625" style="1"/>
  </cols>
  <sheetData>
    <row r="1" spans="1:3" x14ac:dyDescent="0.2">
      <c r="A1" s="1" t="s">
        <v>143</v>
      </c>
    </row>
    <row r="2" spans="1:3" s="4" customFormat="1" x14ac:dyDescent="0.2">
      <c r="A2" s="6" t="s">
        <v>140</v>
      </c>
      <c r="B2" s="6"/>
      <c r="C2" s="6"/>
    </row>
    <row r="3" spans="1:3" x14ac:dyDescent="0.2">
      <c r="A3" s="6"/>
      <c r="B3" s="4"/>
      <c r="C3" s="4"/>
    </row>
    <row r="4" spans="1:3" x14ac:dyDescent="0.2">
      <c r="A4" s="6"/>
      <c r="B4" s="4"/>
      <c r="C4" s="4"/>
    </row>
    <row r="5" spans="1:3" x14ac:dyDescent="0.2">
      <c r="A5" s="6"/>
      <c r="B5" s="4"/>
      <c r="C5" s="4"/>
    </row>
    <row r="6" spans="1:3" x14ac:dyDescent="0.2">
      <c r="A6" s="6"/>
      <c r="B6" s="4"/>
      <c r="C6" s="4"/>
    </row>
    <row r="7" spans="1:3" x14ac:dyDescent="0.2">
      <c r="A7" s="6"/>
      <c r="B7" s="4"/>
      <c r="C7" s="4"/>
    </row>
    <row r="8" spans="1:3" x14ac:dyDescent="0.2">
      <c r="A8" s="6"/>
      <c r="B8" s="4"/>
      <c r="C8" s="4"/>
    </row>
    <row r="9" spans="1:3" x14ac:dyDescent="0.2">
      <c r="A9" s="6"/>
      <c r="B9" s="4"/>
      <c r="C9" s="4"/>
    </row>
    <row r="10" spans="1:3" x14ac:dyDescent="0.2">
      <c r="A10" s="6"/>
      <c r="B10" s="4"/>
      <c r="C10" s="4"/>
    </row>
    <row r="11" spans="1:3" x14ac:dyDescent="0.2">
      <c r="A11" s="6"/>
      <c r="B11" s="4"/>
      <c r="C11" s="4"/>
    </row>
    <row r="12" spans="1:3" x14ac:dyDescent="0.2">
      <c r="A12" s="6"/>
      <c r="B12" s="4"/>
      <c r="C12" s="4"/>
    </row>
  </sheetData>
  <phoneticPr fontId="2" type="noConversion"/>
  <pageMargins left="0.7" right="0.7" top="0.75" bottom="0.75" header="0.3" footer="0.3"/>
  <pageSetup orientation="portrait" r:id="rId1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14516D-9002-4617-9A63-E1CA29CE5849}">
  <sheetPr>
    <tabColor theme="9" tint="0.79998168889431442"/>
  </sheetPr>
  <dimension ref="A1:D11"/>
  <sheetViews>
    <sheetView workbookViewId="0"/>
  </sheetViews>
  <sheetFormatPr baseColWidth="10" defaultColWidth="9.1640625" defaultRowHeight="16" x14ac:dyDescent="0.2"/>
  <cols>
    <col min="1" max="1" width="16" style="1" customWidth="1"/>
    <col min="2" max="16384" width="9.1640625" style="1"/>
  </cols>
  <sheetData>
    <row r="1" spans="1:4" x14ac:dyDescent="0.2">
      <c r="A1" s="1" t="s">
        <v>144</v>
      </c>
    </row>
    <row r="2" spans="1:4" s="4" customFormat="1" x14ac:dyDescent="0.2">
      <c r="A2" s="6" t="s">
        <v>140</v>
      </c>
      <c r="B2" s="6"/>
      <c r="C2" s="6"/>
      <c r="D2" s="6"/>
    </row>
    <row r="3" spans="1:4" x14ac:dyDescent="0.2">
      <c r="A3" s="6"/>
      <c r="B3" s="4"/>
      <c r="C3" s="4"/>
      <c r="D3" s="4"/>
    </row>
    <row r="4" spans="1:4" x14ac:dyDescent="0.2">
      <c r="A4" s="6"/>
      <c r="B4" s="4"/>
      <c r="C4" s="4"/>
      <c r="D4" s="4"/>
    </row>
    <row r="5" spans="1:4" x14ac:dyDescent="0.2">
      <c r="A5" s="6"/>
      <c r="B5" s="4"/>
      <c r="C5" s="4"/>
      <c r="D5" s="4"/>
    </row>
    <row r="6" spans="1:4" x14ac:dyDescent="0.2">
      <c r="A6" s="6"/>
      <c r="B6" s="4"/>
      <c r="C6" s="4"/>
      <c r="D6" s="4"/>
    </row>
    <row r="7" spans="1:4" x14ac:dyDescent="0.2">
      <c r="A7" s="6"/>
      <c r="B7" s="4"/>
      <c r="C7" s="4"/>
      <c r="D7" s="4"/>
    </row>
    <row r="8" spans="1:4" x14ac:dyDescent="0.2">
      <c r="A8" s="6"/>
      <c r="B8" s="4"/>
      <c r="C8" s="4"/>
      <c r="D8" s="4"/>
    </row>
    <row r="9" spans="1:4" x14ac:dyDescent="0.2">
      <c r="A9" s="6"/>
      <c r="B9" s="4"/>
      <c r="C9" s="4"/>
      <c r="D9" s="4"/>
    </row>
    <row r="10" spans="1:4" x14ac:dyDescent="0.2">
      <c r="A10" s="6"/>
      <c r="B10" s="4"/>
      <c r="C10" s="4"/>
      <c r="D10" s="4"/>
    </row>
    <row r="11" spans="1:4" x14ac:dyDescent="0.2">
      <c r="A11" s="6"/>
      <c r="B11" s="4"/>
      <c r="C11" s="4"/>
      <c r="D11" s="4"/>
    </row>
  </sheetData>
  <pageMargins left="0.7" right="0.7" top="0.75" bottom="0.75" header="0.3" footer="0.3"/>
  <pageSetup orientation="portrait" r:id="rId1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A78038-CDE7-4F76-A235-C6722F09C3AA}">
  <sheetPr>
    <tabColor theme="9" tint="0.79998168889431442"/>
  </sheetPr>
  <dimension ref="A1:D11"/>
  <sheetViews>
    <sheetView workbookViewId="0"/>
  </sheetViews>
  <sheetFormatPr baseColWidth="10" defaultColWidth="9.1640625" defaultRowHeight="16" x14ac:dyDescent="0.2"/>
  <cols>
    <col min="1" max="1" width="16.6640625" style="1" customWidth="1"/>
    <col min="2" max="16384" width="9.1640625" style="1"/>
  </cols>
  <sheetData>
    <row r="1" spans="1:4" x14ac:dyDescent="0.2">
      <c r="A1" s="1" t="s">
        <v>248</v>
      </c>
    </row>
    <row r="2" spans="1:4" x14ac:dyDescent="0.2">
      <c r="A2" s="6" t="s">
        <v>140</v>
      </c>
      <c r="B2" s="6"/>
      <c r="C2" s="6"/>
      <c r="D2" s="6"/>
    </row>
    <row r="3" spans="1:4" x14ac:dyDescent="0.2">
      <c r="A3" s="6"/>
      <c r="B3" s="6"/>
      <c r="C3" s="4"/>
      <c r="D3" s="4"/>
    </row>
    <row r="4" spans="1:4" x14ac:dyDescent="0.2">
      <c r="A4" s="6"/>
      <c r="B4" s="6"/>
      <c r="C4" s="4"/>
      <c r="D4" s="4"/>
    </row>
    <row r="5" spans="1:4" x14ac:dyDescent="0.2">
      <c r="A5" s="6"/>
      <c r="B5" s="6"/>
      <c r="C5" s="4"/>
      <c r="D5" s="4"/>
    </row>
    <row r="6" spans="1:4" x14ac:dyDescent="0.2">
      <c r="A6" s="6"/>
      <c r="B6" s="6"/>
      <c r="C6" s="4"/>
      <c r="D6" s="4"/>
    </row>
    <row r="7" spans="1:4" x14ac:dyDescent="0.2">
      <c r="A7" s="6"/>
      <c r="B7" s="6"/>
      <c r="C7" s="4"/>
      <c r="D7" s="4"/>
    </row>
    <row r="8" spans="1:4" x14ac:dyDescent="0.2">
      <c r="A8" s="6"/>
      <c r="B8" s="6"/>
      <c r="C8" s="4"/>
      <c r="D8" s="4"/>
    </row>
    <row r="9" spans="1:4" x14ac:dyDescent="0.2">
      <c r="A9" s="6"/>
      <c r="B9" s="6"/>
      <c r="C9" s="4"/>
      <c r="D9" s="4"/>
    </row>
    <row r="10" spans="1:4" x14ac:dyDescent="0.2">
      <c r="A10" s="6"/>
      <c r="B10" s="6"/>
      <c r="C10" s="4"/>
      <c r="D10" s="4"/>
    </row>
    <row r="11" spans="1:4" x14ac:dyDescent="0.2">
      <c r="A11" s="6"/>
      <c r="B11" s="6"/>
      <c r="C11" s="4"/>
      <c r="D11" s="4"/>
    </row>
  </sheetData>
  <phoneticPr fontId="2" type="noConversion"/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548F62-97B3-424F-8681-D1975DE263A9}">
  <sheetPr>
    <tabColor theme="9" tint="0.79998168889431442"/>
  </sheetPr>
  <dimension ref="A1:J5"/>
  <sheetViews>
    <sheetView workbookViewId="0"/>
  </sheetViews>
  <sheetFormatPr baseColWidth="10" defaultColWidth="9.1640625" defaultRowHeight="16" x14ac:dyDescent="0.2"/>
  <cols>
    <col min="1" max="1" width="13.1640625" style="1" customWidth="1"/>
    <col min="2" max="16384" width="9.1640625" style="1"/>
  </cols>
  <sheetData>
    <row r="1" spans="1:10" x14ac:dyDescent="0.2">
      <c r="A1" s="1" t="s">
        <v>145</v>
      </c>
    </row>
    <row r="2" spans="1:10" s="4" customFormat="1" x14ac:dyDescent="0.2">
      <c r="A2" s="6" t="s">
        <v>148</v>
      </c>
      <c r="B2" s="6"/>
      <c r="C2" s="6"/>
      <c r="D2" s="6"/>
      <c r="E2" s="6"/>
      <c r="F2" s="6"/>
      <c r="G2" s="6"/>
      <c r="H2" s="6"/>
      <c r="I2" s="6"/>
      <c r="J2" s="6"/>
    </row>
    <row r="3" spans="1:10" x14ac:dyDescent="0.2">
      <c r="A3" s="6"/>
      <c r="B3" s="6"/>
      <c r="C3" s="6"/>
      <c r="D3" s="6"/>
      <c r="E3" s="6"/>
      <c r="F3" s="6"/>
      <c r="G3" s="6"/>
      <c r="H3" s="6"/>
      <c r="I3" s="6"/>
      <c r="J3" s="6"/>
    </row>
    <row r="4" spans="1:10" x14ac:dyDescent="0.2">
      <c r="A4" s="6"/>
      <c r="B4" s="6"/>
      <c r="C4" s="6"/>
      <c r="D4" s="6"/>
      <c r="E4" s="6"/>
      <c r="F4" s="6"/>
      <c r="G4" s="6"/>
      <c r="H4" s="6"/>
      <c r="I4" s="6"/>
      <c r="J4" s="6"/>
    </row>
    <row r="5" spans="1:10" x14ac:dyDescent="0.2">
      <c r="A5" s="6"/>
      <c r="B5" s="6"/>
      <c r="C5" s="6"/>
      <c r="D5" s="6"/>
      <c r="E5" s="6"/>
      <c r="F5" s="6"/>
      <c r="G5" s="6"/>
      <c r="H5" s="6"/>
      <c r="I5" s="6"/>
      <c r="J5" s="6"/>
    </row>
  </sheetData>
  <pageMargins left="0.7" right="0.7" top="0.75" bottom="0.75" header="0.3" footer="0.3"/>
  <pageSetup orientation="portrait" r:id="rId1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4ECBE8-579F-4C46-8EE6-A1073B2E4481}">
  <sheetPr>
    <tabColor theme="9" tint="0.79998168889431442"/>
  </sheetPr>
  <dimension ref="A1:D5"/>
  <sheetViews>
    <sheetView workbookViewId="0"/>
  </sheetViews>
  <sheetFormatPr baseColWidth="10" defaultColWidth="9.1640625" defaultRowHeight="16" x14ac:dyDescent="0.2"/>
  <cols>
    <col min="1" max="1" width="14.5" style="1" customWidth="1"/>
    <col min="2" max="16384" width="9.1640625" style="1"/>
  </cols>
  <sheetData>
    <row r="1" spans="1:4" x14ac:dyDescent="0.2">
      <c r="A1" s="1" t="s">
        <v>249</v>
      </c>
    </row>
    <row r="2" spans="1:4" x14ac:dyDescent="0.2">
      <c r="A2" s="6" t="s">
        <v>148</v>
      </c>
      <c r="B2" s="6"/>
      <c r="C2" s="6"/>
      <c r="D2" s="6"/>
    </row>
    <row r="3" spans="1:4" x14ac:dyDescent="0.2">
      <c r="A3" s="6"/>
      <c r="B3" s="6"/>
      <c r="C3" s="6"/>
    </row>
    <row r="4" spans="1:4" x14ac:dyDescent="0.2">
      <c r="A4" s="6"/>
      <c r="B4" s="4"/>
      <c r="C4" s="4"/>
    </row>
    <row r="5" spans="1:4" x14ac:dyDescent="0.2">
      <c r="A5" s="6"/>
      <c r="D5" s="4"/>
    </row>
  </sheetData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BC2D47-F187-4A8D-891B-85F0F5A9A73D}">
  <sheetPr>
    <tabColor theme="9" tint="0.79998168889431442"/>
  </sheetPr>
  <dimension ref="A1:B4"/>
  <sheetViews>
    <sheetView workbookViewId="0">
      <selection activeCell="A2" sqref="A2"/>
    </sheetView>
  </sheetViews>
  <sheetFormatPr baseColWidth="10" defaultColWidth="9.1640625" defaultRowHeight="16" x14ac:dyDescent="0.2"/>
  <cols>
    <col min="1" max="1" width="19.6640625" style="1" customWidth="1"/>
    <col min="2" max="16384" width="9.1640625" style="1"/>
  </cols>
  <sheetData>
    <row r="1" spans="1:2" x14ac:dyDescent="0.2">
      <c r="A1" s="1" t="s">
        <v>297</v>
      </c>
    </row>
    <row r="2" spans="1:2" s="4" customFormat="1" x14ac:dyDescent="0.2">
      <c r="A2" s="6" t="s">
        <v>296</v>
      </c>
      <c r="B2" s="6"/>
    </row>
    <row r="3" spans="1:2" x14ac:dyDescent="0.2">
      <c r="A3" s="6"/>
      <c r="B3" s="4"/>
    </row>
    <row r="4" spans="1:2" x14ac:dyDescent="0.2">
      <c r="A4" s="6"/>
      <c r="B4" s="4"/>
    </row>
  </sheetData>
  <phoneticPr fontId="2" type="noConversion"/>
  <pageMargins left="0.7" right="0.7" top="0.75" bottom="0.75" header="0.3" footer="0.3"/>
  <pageSetup orientation="portrait" r:id="rId1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5F6C2E-9295-44C7-B492-F6D27B8F0C30}">
  <sheetPr>
    <tabColor theme="9" tint="0.79998168889431442"/>
  </sheetPr>
  <dimension ref="A1:B4"/>
  <sheetViews>
    <sheetView workbookViewId="0">
      <selection activeCell="A2" sqref="A2:B4"/>
    </sheetView>
  </sheetViews>
  <sheetFormatPr baseColWidth="10" defaultColWidth="9.1640625" defaultRowHeight="16" x14ac:dyDescent="0.2"/>
  <cols>
    <col min="1" max="1" width="15.5" style="1" customWidth="1"/>
    <col min="2" max="16384" width="9.1640625" style="1"/>
  </cols>
  <sheetData>
    <row r="1" spans="1:2" x14ac:dyDescent="0.2">
      <c r="A1" s="1" t="s">
        <v>256</v>
      </c>
    </row>
    <row r="2" spans="1:2" s="4" customFormat="1" x14ac:dyDescent="0.2">
      <c r="A2" s="6" t="s">
        <v>146</v>
      </c>
      <c r="B2" s="6"/>
    </row>
    <row r="3" spans="1:2" x14ac:dyDescent="0.2">
      <c r="A3" s="6"/>
      <c r="B3" s="4"/>
    </row>
    <row r="4" spans="1:2" x14ac:dyDescent="0.2">
      <c r="A4" s="6"/>
      <c r="B4" s="4"/>
    </row>
  </sheetData>
  <phoneticPr fontId="2" type="noConversion"/>
  <pageMargins left="0.7" right="0.7" top="0.75" bottom="0.75" header="0.3" footer="0.3"/>
  <pageSetup orientation="portrait" r:id="rId1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E0DBD1-9C53-4E86-8483-588C08719311}">
  <sheetPr>
    <tabColor theme="9" tint="0.79998168889431442"/>
  </sheetPr>
  <dimension ref="A1:D4"/>
  <sheetViews>
    <sheetView workbookViewId="0">
      <selection activeCell="A2" sqref="A2:D4"/>
    </sheetView>
  </sheetViews>
  <sheetFormatPr baseColWidth="10" defaultColWidth="9.1640625" defaultRowHeight="16" x14ac:dyDescent="0.2"/>
  <cols>
    <col min="1" max="1" width="16.5" style="1" customWidth="1"/>
    <col min="2" max="16384" width="9.1640625" style="1"/>
  </cols>
  <sheetData>
    <row r="1" spans="1:4" x14ac:dyDescent="0.2">
      <c r="A1" s="1" t="s">
        <v>250</v>
      </c>
    </row>
    <row r="2" spans="1:4" x14ac:dyDescent="0.2">
      <c r="A2" s="6" t="s">
        <v>146</v>
      </c>
      <c r="B2" s="6"/>
      <c r="C2" s="6"/>
      <c r="D2" s="6"/>
    </row>
    <row r="3" spans="1:4" x14ac:dyDescent="0.2">
      <c r="A3" s="6"/>
      <c r="B3" s="4"/>
      <c r="C3" s="4"/>
      <c r="D3" s="4"/>
    </row>
    <row r="4" spans="1:4" x14ac:dyDescent="0.2">
      <c r="A4" s="6"/>
      <c r="B4" s="4"/>
    </row>
  </sheetData>
  <pageMargins left="0.7" right="0.7" top="0.75" bottom="0.75" header="0.3" footer="0.3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E8874E-11ED-45FA-AE95-642AF80BF911}">
  <sheetPr>
    <tabColor theme="9" tint="0.79998168889431442"/>
  </sheetPr>
  <dimension ref="A1:B3"/>
  <sheetViews>
    <sheetView workbookViewId="0">
      <selection activeCell="A2" sqref="A2:B3"/>
    </sheetView>
  </sheetViews>
  <sheetFormatPr baseColWidth="10" defaultColWidth="9.1640625" defaultRowHeight="16" x14ac:dyDescent="0.2"/>
  <cols>
    <col min="1" max="1" width="14.6640625" style="1" customWidth="1"/>
    <col min="2" max="16384" width="9.1640625" style="1"/>
  </cols>
  <sheetData>
    <row r="1" spans="1:2" x14ac:dyDescent="0.2">
      <c r="A1" s="1" t="s">
        <v>147</v>
      </c>
    </row>
    <row r="2" spans="1:2" x14ac:dyDescent="0.2">
      <c r="A2" s="6" t="s">
        <v>148</v>
      </c>
      <c r="B2" s="6"/>
    </row>
    <row r="3" spans="1:2" x14ac:dyDescent="0.2">
      <c r="A3" s="6"/>
      <c r="B3" s="4"/>
    </row>
  </sheetData>
  <pageMargins left="0.7" right="0.7" top="0.75" bottom="0.75" header="0.3" footer="0.3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3F673B-ABE6-40C2-BA6B-F7AEA69D03F8}">
  <sheetPr>
    <tabColor theme="9" tint="0.79998168889431442"/>
  </sheetPr>
  <dimension ref="A1:J4"/>
  <sheetViews>
    <sheetView workbookViewId="0">
      <selection activeCell="A2" sqref="A2"/>
    </sheetView>
  </sheetViews>
  <sheetFormatPr baseColWidth="10" defaultColWidth="9.1640625" defaultRowHeight="16" x14ac:dyDescent="0.2"/>
  <cols>
    <col min="1" max="1" width="15.6640625" style="1" customWidth="1"/>
    <col min="2" max="16384" width="9.1640625" style="1"/>
  </cols>
  <sheetData>
    <row r="1" spans="1:10" x14ac:dyDescent="0.2">
      <c r="A1" s="1" t="s">
        <v>257</v>
      </c>
    </row>
    <row r="2" spans="1:10" s="4" customFormat="1" x14ac:dyDescent="0.2">
      <c r="A2" s="6" t="s">
        <v>146</v>
      </c>
      <c r="B2" s="6"/>
      <c r="C2" s="6"/>
      <c r="D2" s="6"/>
      <c r="E2" s="6"/>
      <c r="F2" s="6"/>
      <c r="G2" s="6"/>
      <c r="H2" s="6"/>
      <c r="I2" s="6"/>
      <c r="J2" s="6"/>
    </row>
    <row r="3" spans="1:10" x14ac:dyDescent="0.2">
      <c r="A3" s="6"/>
      <c r="B3" s="4"/>
      <c r="C3" s="4"/>
      <c r="D3" s="4"/>
      <c r="E3" s="4"/>
      <c r="F3" s="4"/>
      <c r="G3" s="4"/>
      <c r="H3" s="4"/>
      <c r="I3" s="4"/>
      <c r="J3" s="4"/>
    </row>
    <row r="4" spans="1:10" x14ac:dyDescent="0.2">
      <c r="A4" s="6"/>
      <c r="B4" s="4"/>
      <c r="C4" s="4"/>
      <c r="D4" s="4"/>
      <c r="E4" s="4"/>
      <c r="F4" s="4"/>
      <c r="G4" s="4"/>
      <c r="H4" s="4"/>
      <c r="I4" s="4"/>
      <c r="J4" s="4"/>
    </row>
  </sheetData>
  <pageMargins left="0.7" right="0.7" top="0.75" bottom="0.75" header="0.3" footer="0.3"/>
  <pageSetup orientation="portrait" r:id="rId1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D63A4D-10C9-D842-83F3-C808B5A14FFE}">
  <sheetPr>
    <tabColor theme="9" tint="0.79998168889431442"/>
  </sheetPr>
  <dimension ref="A1:A2"/>
  <sheetViews>
    <sheetView workbookViewId="0">
      <selection activeCell="A3" sqref="A3"/>
    </sheetView>
  </sheetViews>
  <sheetFormatPr baseColWidth="10" defaultColWidth="9.1640625" defaultRowHeight="16" x14ac:dyDescent="0.2"/>
  <cols>
    <col min="1" max="1" width="15.33203125" style="1" customWidth="1"/>
    <col min="2" max="16384" width="9.1640625" style="1"/>
  </cols>
  <sheetData>
    <row r="1" spans="1:1" x14ac:dyDescent="0.2">
      <c r="A1" s="1" t="s">
        <v>259</v>
      </c>
    </row>
    <row r="2" spans="1:1" x14ac:dyDescent="0.2">
      <c r="A2" s="6" t="s">
        <v>146</v>
      </c>
    </row>
  </sheetData>
  <pageMargins left="0.7" right="0.7" top="0.75" bottom="0.75" header="0.3" footer="0.3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5A3BF6-1973-4856-86F5-89173E1F6931}">
  <sheetPr>
    <tabColor theme="9" tint="0.79998168889431442"/>
  </sheetPr>
  <dimension ref="A1:D4"/>
  <sheetViews>
    <sheetView workbookViewId="0">
      <selection activeCell="E7" sqref="E7"/>
    </sheetView>
  </sheetViews>
  <sheetFormatPr baseColWidth="10" defaultColWidth="9.1640625" defaultRowHeight="16" x14ac:dyDescent="0.2"/>
  <cols>
    <col min="1" max="1" width="17.5" style="1" customWidth="1"/>
    <col min="2" max="16384" width="9.1640625" style="1"/>
  </cols>
  <sheetData>
    <row r="1" spans="1:4" x14ac:dyDescent="0.2">
      <c r="A1" s="1" t="s">
        <v>251</v>
      </c>
    </row>
    <row r="2" spans="1:4" x14ac:dyDescent="0.2">
      <c r="A2" s="6" t="s">
        <v>146</v>
      </c>
      <c r="B2" s="6"/>
      <c r="C2" s="6"/>
      <c r="D2" s="6"/>
    </row>
    <row r="3" spans="1:4" x14ac:dyDescent="0.2">
      <c r="A3" s="6"/>
      <c r="B3" s="4"/>
      <c r="C3" s="4"/>
      <c r="D3" s="4"/>
    </row>
    <row r="4" spans="1:4" x14ac:dyDescent="0.2">
      <c r="A4" s="6"/>
      <c r="B4" s="4"/>
      <c r="C4" s="4"/>
      <c r="D4" s="4"/>
    </row>
  </sheetData>
  <pageMargins left="0.7" right="0.7" top="0.75" bottom="0.75" header="0.3" footer="0.3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6ED8ED-0A77-4974-A7C2-D2B875DA1401}">
  <sheetPr>
    <tabColor theme="9" tint="0.79998168889431442"/>
  </sheetPr>
  <dimension ref="A1:B6"/>
  <sheetViews>
    <sheetView workbookViewId="0">
      <selection activeCell="E6" sqref="E6"/>
    </sheetView>
  </sheetViews>
  <sheetFormatPr baseColWidth="10" defaultColWidth="9.1640625" defaultRowHeight="16" x14ac:dyDescent="0.2"/>
  <cols>
    <col min="1" max="1" width="15.5" style="1" customWidth="1"/>
    <col min="2" max="16384" width="9.1640625" style="1"/>
  </cols>
  <sheetData>
    <row r="1" spans="1:2" x14ac:dyDescent="0.2">
      <c r="A1" s="1" t="s">
        <v>149</v>
      </c>
    </row>
    <row r="2" spans="1:2" s="4" customFormat="1" x14ac:dyDescent="0.2">
      <c r="A2" s="6" t="s">
        <v>135</v>
      </c>
      <c r="B2" s="6"/>
    </row>
    <row r="3" spans="1:2" s="4" customFormat="1" x14ac:dyDescent="0.2">
      <c r="A3" s="6"/>
    </row>
    <row r="4" spans="1:2" x14ac:dyDescent="0.2">
      <c r="A4" s="6"/>
      <c r="B4" s="4"/>
    </row>
    <row r="5" spans="1:2" x14ac:dyDescent="0.2">
      <c r="A5" s="6"/>
      <c r="B5" s="4"/>
    </row>
    <row r="6" spans="1:2" x14ac:dyDescent="0.2">
      <c r="A6" s="6"/>
      <c r="B6" s="4"/>
    </row>
  </sheetData>
  <phoneticPr fontId="2" type="noConversion"/>
  <pageMargins left="0.7" right="0.7" top="0.75" bottom="0.75" header="0.3" footer="0.3"/>
  <pageSetup orientation="portrait" r:id="rId1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15298C-1D1C-4004-91BA-05C3C07D8B7C}">
  <sheetPr>
    <tabColor theme="9" tint="0.79998168889431442"/>
  </sheetPr>
  <dimension ref="A1:B4"/>
  <sheetViews>
    <sheetView workbookViewId="0">
      <selection activeCell="A2" sqref="A2"/>
    </sheetView>
  </sheetViews>
  <sheetFormatPr baseColWidth="10" defaultColWidth="9.1640625" defaultRowHeight="16" x14ac:dyDescent="0.2"/>
  <cols>
    <col min="1" max="1" width="19.83203125" style="1" customWidth="1"/>
    <col min="2" max="16384" width="9.1640625" style="1"/>
  </cols>
  <sheetData>
    <row r="1" spans="1:2" x14ac:dyDescent="0.2">
      <c r="A1" s="1" t="s">
        <v>298</v>
      </c>
    </row>
    <row r="2" spans="1:2" s="4" customFormat="1" x14ac:dyDescent="0.2">
      <c r="A2" s="6" t="s">
        <v>296</v>
      </c>
      <c r="B2" s="6"/>
    </row>
    <row r="3" spans="1:2" x14ac:dyDescent="0.2">
      <c r="A3" s="6"/>
      <c r="B3" s="4"/>
    </row>
    <row r="4" spans="1:2" x14ac:dyDescent="0.2">
      <c r="A4" s="6"/>
      <c r="B4" s="4"/>
    </row>
  </sheetData>
  <pageMargins left="0.7" right="0.7" top="0.75" bottom="0.75" header="0.3" footer="0.3"/>
  <pageSetup orientation="portrait" r:id="rId1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AE275C-BC38-44C0-8EFB-EA0A3ABCF1EE}">
  <sheetPr>
    <tabColor theme="9" tint="0.79998168889431442"/>
  </sheetPr>
  <dimension ref="A1:C6"/>
  <sheetViews>
    <sheetView workbookViewId="0">
      <selection activeCell="J13" sqref="J13"/>
    </sheetView>
  </sheetViews>
  <sheetFormatPr baseColWidth="10" defaultColWidth="9.1640625" defaultRowHeight="16" x14ac:dyDescent="0.2"/>
  <cols>
    <col min="1" max="1" width="15.5" style="1" customWidth="1"/>
    <col min="2" max="16384" width="9.1640625" style="1"/>
  </cols>
  <sheetData>
    <row r="1" spans="1:3" x14ac:dyDescent="0.2">
      <c r="A1" s="1" t="s">
        <v>150</v>
      </c>
    </row>
    <row r="2" spans="1:3" s="4" customFormat="1" x14ac:dyDescent="0.2">
      <c r="A2" s="6" t="s">
        <v>135</v>
      </c>
      <c r="B2" s="6"/>
      <c r="C2" s="6"/>
    </row>
    <row r="3" spans="1:3" s="4" customFormat="1" x14ac:dyDescent="0.2">
      <c r="A3" s="6"/>
    </row>
    <row r="4" spans="1:3" s="4" customFormat="1" x14ac:dyDescent="0.2">
      <c r="A4" s="6"/>
    </row>
    <row r="5" spans="1:3" s="4" customFormat="1" x14ac:dyDescent="0.2">
      <c r="A5" s="6"/>
    </row>
    <row r="6" spans="1:3" x14ac:dyDescent="0.2">
      <c r="A6" s="6"/>
      <c r="B6" s="4"/>
      <c r="C6" s="4"/>
    </row>
  </sheetData>
  <pageMargins left="0.7" right="0.7" top="0.75" bottom="0.75" header="0.3" footer="0.3"/>
  <pageSetup orientation="portrait" r:id="rId1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457C74-863B-4C67-B58B-571271FAEA0E}">
  <sheetPr>
    <tabColor theme="9" tint="0.79998168889431442"/>
  </sheetPr>
  <dimension ref="A1:C3"/>
  <sheetViews>
    <sheetView workbookViewId="0">
      <selection activeCell="F10" sqref="F10"/>
    </sheetView>
  </sheetViews>
  <sheetFormatPr baseColWidth="10" defaultColWidth="9.1640625" defaultRowHeight="16" x14ac:dyDescent="0.2"/>
  <cols>
    <col min="1" max="1" width="18.1640625" style="1" customWidth="1"/>
    <col min="2" max="16384" width="9.1640625" style="1"/>
  </cols>
  <sheetData>
    <row r="1" spans="1:3" x14ac:dyDescent="0.2">
      <c r="A1" s="1" t="s">
        <v>151</v>
      </c>
    </row>
    <row r="2" spans="1:3" s="4" customFormat="1" x14ac:dyDescent="0.2">
      <c r="A2" s="6" t="s">
        <v>137</v>
      </c>
      <c r="B2" s="6"/>
      <c r="C2" s="6"/>
    </row>
    <row r="3" spans="1:3" s="4" customFormat="1" x14ac:dyDescent="0.2">
      <c r="A3" s="6"/>
    </row>
  </sheetData>
  <pageMargins left="0.7" right="0.7" top="0.75" bottom="0.75" header="0.3" footer="0.3"/>
  <pageSetup orientation="portrait" r:id="rId1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622F2B-1E4B-46C9-B210-3150CCBB5892}">
  <sheetPr>
    <tabColor theme="9" tint="0.79998168889431442"/>
  </sheetPr>
  <dimension ref="A1:B3"/>
  <sheetViews>
    <sheetView workbookViewId="0"/>
  </sheetViews>
  <sheetFormatPr baseColWidth="10" defaultColWidth="9.1640625" defaultRowHeight="16" x14ac:dyDescent="0.2"/>
  <cols>
    <col min="1" max="1" width="17.6640625" style="1" customWidth="1"/>
    <col min="2" max="16384" width="9.1640625" style="1"/>
  </cols>
  <sheetData>
    <row r="1" spans="1:2" x14ac:dyDescent="0.2">
      <c r="A1" s="1" t="s">
        <v>152</v>
      </c>
    </row>
    <row r="2" spans="1:2" s="4" customFormat="1" x14ac:dyDescent="0.2">
      <c r="A2" s="6" t="s">
        <v>137</v>
      </c>
      <c r="B2" s="6"/>
    </row>
    <row r="3" spans="1:2" s="4" customFormat="1" x14ac:dyDescent="0.2">
      <c r="A3" s="6"/>
      <c r="B3" s="6"/>
    </row>
  </sheetData>
  <pageMargins left="0.7" right="0.7" top="0.75" bottom="0.75" header="0.3" footer="0.3"/>
  <pageSetup orientation="portrait" r:id="rId1"/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A52059-0CB1-474F-ACFF-2997470BE1E9}">
  <sheetPr>
    <tabColor theme="9" tint="0.79998168889431442"/>
  </sheetPr>
  <dimension ref="A1:D3"/>
  <sheetViews>
    <sheetView workbookViewId="0"/>
  </sheetViews>
  <sheetFormatPr baseColWidth="10" defaultColWidth="9.1640625" defaultRowHeight="16" x14ac:dyDescent="0.2"/>
  <cols>
    <col min="1" max="1" width="18" style="1" customWidth="1"/>
    <col min="2" max="16384" width="9.1640625" style="1"/>
  </cols>
  <sheetData>
    <row r="1" spans="1:4" x14ac:dyDescent="0.2">
      <c r="A1" s="1" t="s">
        <v>153</v>
      </c>
    </row>
    <row r="2" spans="1:4" s="4" customFormat="1" x14ac:dyDescent="0.2">
      <c r="A2" s="6" t="s">
        <v>137</v>
      </c>
      <c r="B2" s="6"/>
      <c r="C2" s="6"/>
      <c r="D2" s="6"/>
    </row>
    <row r="3" spans="1:4" s="4" customFormat="1" x14ac:dyDescent="0.2">
      <c r="A3" s="6"/>
    </row>
  </sheetData>
  <phoneticPr fontId="2" type="noConversion"/>
  <pageMargins left="0.7" right="0.7" top="0.75" bottom="0.75" header="0.3" footer="0.3"/>
  <pageSetup orientation="portrait" r:id="rId1"/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E35D21-A9CB-462D-A985-6B6D4051745F}">
  <sheetPr>
    <tabColor theme="9" tint="0.79998168889431442"/>
  </sheetPr>
  <dimension ref="A1:D4"/>
  <sheetViews>
    <sheetView workbookViewId="0"/>
  </sheetViews>
  <sheetFormatPr baseColWidth="10" defaultColWidth="9.1640625" defaultRowHeight="16" x14ac:dyDescent="0.2"/>
  <cols>
    <col min="1" max="1" width="17.5" style="1" customWidth="1"/>
    <col min="2" max="16384" width="9.1640625" style="1"/>
  </cols>
  <sheetData>
    <row r="1" spans="1:4" x14ac:dyDescent="0.2">
      <c r="A1" s="1" t="s">
        <v>252</v>
      </c>
    </row>
    <row r="2" spans="1:4" x14ac:dyDescent="0.2">
      <c r="A2" s="6" t="s">
        <v>146</v>
      </c>
      <c r="B2" s="6"/>
      <c r="C2" s="6"/>
      <c r="D2" s="6"/>
    </row>
    <row r="3" spans="1:4" x14ac:dyDescent="0.2">
      <c r="A3" s="6"/>
      <c r="B3" s="4"/>
      <c r="C3" s="4"/>
      <c r="D3" s="4"/>
    </row>
    <row r="4" spans="1:4" x14ac:dyDescent="0.2">
      <c r="A4" s="6"/>
      <c r="B4" s="4"/>
      <c r="C4" s="4"/>
      <c r="D4" s="4"/>
    </row>
  </sheetData>
  <pageMargins left="0.7" right="0.7" top="0.75" bottom="0.75" header="0.3" footer="0.3"/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C8F968-B569-4630-B489-36D60677DD57}">
  <sheetPr>
    <tabColor theme="9" tint="0.79998168889431442"/>
  </sheetPr>
  <dimension ref="A1:D4"/>
  <sheetViews>
    <sheetView workbookViewId="0">
      <selection activeCell="A2" sqref="A2"/>
    </sheetView>
  </sheetViews>
  <sheetFormatPr baseColWidth="10" defaultColWidth="9.1640625" defaultRowHeight="16" x14ac:dyDescent="0.2"/>
  <cols>
    <col min="1" max="1" width="16.1640625" style="1" customWidth="1"/>
    <col min="2" max="16384" width="9.1640625" style="1"/>
  </cols>
  <sheetData>
    <row r="1" spans="1:4" x14ac:dyDescent="0.2">
      <c r="A1" s="1" t="s">
        <v>253</v>
      </c>
    </row>
    <row r="2" spans="1:4" x14ac:dyDescent="0.2">
      <c r="A2" s="6" t="s">
        <v>146</v>
      </c>
      <c r="B2" s="6"/>
      <c r="C2" s="6"/>
      <c r="D2" s="6"/>
    </row>
    <row r="3" spans="1:4" x14ac:dyDescent="0.2">
      <c r="A3" s="6"/>
      <c r="B3" s="4"/>
      <c r="C3" s="4"/>
      <c r="D3" s="4"/>
    </row>
    <row r="4" spans="1:4" x14ac:dyDescent="0.2">
      <c r="A4" s="6"/>
      <c r="B4" s="4"/>
      <c r="C4" s="4"/>
      <c r="D4" s="4"/>
    </row>
  </sheetData>
  <pageMargins left="0.7" right="0.7" top="0.75" bottom="0.75" header="0.3" footer="0.3"/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131FC4-DDA8-4CA5-9995-BA95F5C41F90}">
  <sheetPr>
    <tabColor theme="9" tint="0.79998168889431442"/>
  </sheetPr>
  <dimension ref="A1:D5"/>
  <sheetViews>
    <sheetView workbookViewId="0"/>
  </sheetViews>
  <sheetFormatPr baseColWidth="10" defaultColWidth="9.1640625" defaultRowHeight="16" x14ac:dyDescent="0.2"/>
  <cols>
    <col min="1" max="1" width="15.5" style="1" customWidth="1"/>
    <col min="2" max="16384" width="9.1640625" style="1"/>
  </cols>
  <sheetData>
    <row r="1" spans="1:4" x14ac:dyDescent="0.2">
      <c r="A1" s="1" t="s">
        <v>254</v>
      </c>
    </row>
    <row r="2" spans="1:4" x14ac:dyDescent="0.2">
      <c r="A2" s="6" t="s">
        <v>148</v>
      </c>
      <c r="B2" s="6"/>
      <c r="C2" s="6"/>
      <c r="D2" s="6"/>
    </row>
    <row r="3" spans="1:4" x14ac:dyDescent="0.2">
      <c r="A3" s="6"/>
      <c r="B3" s="6"/>
      <c r="C3" s="6"/>
      <c r="D3" s="6"/>
    </row>
    <row r="4" spans="1:4" x14ac:dyDescent="0.2">
      <c r="A4" s="6"/>
      <c r="B4" s="4"/>
      <c r="C4" s="4"/>
      <c r="D4" s="4"/>
    </row>
    <row r="5" spans="1:4" x14ac:dyDescent="0.2">
      <c r="A5" s="6"/>
      <c r="B5" s="4"/>
      <c r="C5" s="4"/>
      <c r="D5" s="4"/>
    </row>
  </sheetData>
  <pageMargins left="0.7" right="0.7" top="0.75" bottom="0.75" header="0.3" footer="0.3"/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036847-7864-B54F-959A-A9BC28F2FAD9}">
  <sheetPr>
    <tabColor theme="9" tint="0.79998168889431442"/>
  </sheetPr>
  <dimension ref="A1:A2"/>
  <sheetViews>
    <sheetView workbookViewId="0">
      <selection activeCell="A2" sqref="A2"/>
    </sheetView>
  </sheetViews>
  <sheetFormatPr baseColWidth="10" defaultColWidth="9.1640625" defaultRowHeight="16" x14ac:dyDescent="0.2"/>
  <cols>
    <col min="1" max="1" width="15.6640625" style="1" customWidth="1"/>
    <col min="2" max="16384" width="9.1640625" style="1"/>
  </cols>
  <sheetData>
    <row r="1" spans="1:1" x14ac:dyDescent="0.2">
      <c r="A1" s="1" t="s">
        <v>260</v>
      </c>
    </row>
    <row r="2" spans="1:1" x14ac:dyDescent="0.2">
      <c r="A2" s="6" t="s">
        <v>146</v>
      </c>
    </row>
  </sheetData>
  <pageMargins left="0.7" right="0.7" top="0.75" bottom="0.75" header="0.3" footer="0.3"/>
</worksheet>
</file>

<file path=xl/worksheets/sheet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B5B5E2-5BB6-4D8A-A59D-BCD5CAC9BC96}">
  <sheetPr>
    <tabColor theme="9" tint="0.79998168889431442"/>
  </sheetPr>
  <dimension ref="A1:D28"/>
  <sheetViews>
    <sheetView workbookViewId="0"/>
  </sheetViews>
  <sheetFormatPr baseColWidth="10" defaultColWidth="9.33203125" defaultRowHeight="16" x14ac:dyDescent="0.2"/>
  <cols>
    <col min="1" max="1" width="12.33203125" style="1" customWidth="1"/>
    <col min="2" max="2" width="9.33203125" style="1"/>
    <col min="3" max="3" width="3.5" style="1" customWidth="1"/>
    <col min="4" max="12" width="9.33203125" style="1"/>
    <col min="13" max="13" width="11.33203125" style="1" customWidth="1"/>
    <col min="14" max="14" width="10.6640625" style="1" customWidth="1"/>
    <col min="15" max="15" width="12.83203125" style="1" customWidth="1"/>
    <col min="16" max="16" width="4.5" style="1" customWidth="1"/>
    <col min="17" max="16384" width="9.33203125" style="1"/>
  </cols>
  <sheetData>
    <row r="1" spans="1:4" x14ac:dyDescent="0.2">
      <c r="A1" s="1" t="s">
        <v>240</v>
      </c>
    </row>
    <row r="2" spans="1:4" x14ac:dyDescent="0.2">
      <c r="A2" s="5" t="s">
        <v>206</v>
      </c>
      <c r="B2" s="5" t="s">
        <v>45</v>
      </c>
    </row>
    <row r="3" spans="1:4" x14ac:dyDescent="0.2">
      <c r="A3" s="5"/>
    </row>
    <row r="4" spans="1:4" x14ac:dyDescent="0.2">
      <c r="A4" s="5"/>
      <c r="D4" s="5"/>
    </row>
    <row r="5" spans="1:4" x14ac:dyDescent="0.2">
      <c r="A5" s="5"/>
    </row>
    <row r="6" spans="1:4" x14ac:dyDescent="0.2">
      <c r="A6" s="5"/>
    </row>
    <row r="7" spans="1:4" x14ac:dyDescent="0.2">
      <c r="A7" s="5"/>
    </row>
    <row r="8" spans="1:4" x14ac:dyDescent="0.2">
      <c r="A8" s="5"/>
    </row>
    <row r="9" spans="1:4" x14ac:dyDescent="0.2">
      <c r="A9" s="5"/>
    </row>
    <row r="10" spans="1:4" x14ac:dyDescent="0.2">
      <c r="A10" s="5"/>
    </row>
    <row r="11" spans="1:4" x14ac:dyDescent="0.2">
      <c r="A11" s="5"/>
    </row>
    <row r="12" spans="1:4" x14ac:dyDescent="0.2">
      <c r="A12" s="5"/>
    </row>
    <row r="13" spans="1:4" x14ac:dyDescent="0.2">
      <c r="A13" s="5"/>
    </row>
    <row r="14" spans="1:4" x14ac:dyDescent="0.2">
      <c r="A14" s="5"/>
    </row>
    <row r="15" spans="1:4" x14ac:dyDescent="0.2">
      <c r="A15" s="5"/>
    </row>
    <row r="16" spans="1:4" x14ac:dyDescent="0.2">
      <c r="A16" s="5"/>
    </row>
    <row r="17" spans="1:1" x14ac:dyDescent="0.2">
      <c r="A17" s="5"/>
    </row>
    <row r="18" spans="1:1" x14ac:dyDescent="0.2">
      <c r="A18" s="5"/>
    </row>
    <row r="19" spans="1:1" x14ac:dyDescent="0.2">
      <c r="A19" s="5"/>
    </row>
    <row r="20" spans="1:1" x14ac:dyDescent="0.2">
      <c r="A20" s="5"/>
    </row>
    <row r="21" spans="1:1" x14ac:dyDescent="0.2">
      <c r="A21" s="5"/>
    </row>
    <row r="22" spans="1:1" x14ac:dyDescent="0.2">
      <c r="A22" s="5"/>
    </row>
    <row r="23" spans="1:1" x14ac:dyDescent="0.2">
      <c r="A23" s="5"/>
    </row>
    <row r="24" spans="1:1" x14ac:dyDescent="0.2">
      <c r="A24" s="5"/>
    </row>
    <row r="25" spans="1:1" x14ac:dyDescent="0.2">
      <c r="A25" s="5"/>
    </row>
    <row r="26" spans="1:1" x14ac:dyDescent="0.2">
      <c r="A26" s="5"/>
    </row>
    <row r="27" spans="1:1" x14ac:dyDescent="0.2">
      <c r="A27" s="5"/>
    </row>
    <row r="28" spans="1:1" x14ac:dyDescent="0.2">
      <c r="A28" s="5"/>
    </row>
  </sheetData>
  <pageMargins left="0.7" right="0.7" top="0.75" bottom="0.75" header="0.3" footer="0.3"/>
  <pageSetup orientation="portrait" r:id="rId1"/>
</worksheet>
</file>

<file path=xl/worksheets/sheet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6FA210-6C83-4CC4-AF45-F41CDC53F769}">
  <sheetPr>
    <tabColor theme="7" tint="0.79998168889431442"/>
  </sheetPr>
  <dimension ref="A1:BC8"/>
  <sheetViews>
    <sheetView showZeros="0" workbookViewId="0">
      <selection activeCell="A2" sqref="A2"/>
    </sheetView>
  </sheetViews>
  <sheetFormatPr baseColWidth="10" defaultColWidth="9.1640625" defaultRowHeight="16" x14ac:dyDescent="0.2"/>
  <cols>
    <col min="1" max="1" width="18" style="1" customWidth="1"/>
    <col min="2" max="2" width="15.5" style="1" bestFit="1" customWidth="1"/>
    <col min="3" max="3" width="9.83203125" style="1" bestFit="1" customWidth="1"/>
    <col min="4" max="53" width="9.1640625" style="1"/>
    <col min="54" max="54" width="11.6640625" style="1" bestFit="1" customWidth="1"/>
    <col min="55" max="55" width="13.1640625" style="1" bestFit="1" customWidth="1"/>
    <col min="56" max="16384" width="9.1640625" style="1"/>
  </cols>
  <sheetData>
    <row r="1" spans="1:55" x14ac:dyDescent="0.2">
      <c r="A1" s="1" t="str">
        <f>_xlfn.CONCAT( "Table of Completions Water Demand for Completions Sites over ",VLOOKUP("decision period", Units!$A$2:$B$11, 2, FALSE),"s [",VLOOKUP("volume", Units!$A$2:$B$11, 2, FALSE),"/", VLOOKUP("time", Units!$A$2:$B$11, 2, FALSE),"]")</f>
        <v>Table of Completions Water Demand for Completions Sites over weeks [bbl/day]</v>
      </c>
    </row>
    <row r="2" spans="1:55" s="4" customFormat="1" x14ac:dyDescent="0.2">
      <c r="A2" s="6" t="s">
        <v>137</v>
      </c>
      <c r="B2" s="6" t="s">
        <v>154</v>
      </c>
      <c r="C2" s="6" t="s">
        <v>155</v>
      </c>
      <c r="D2" s="6" t="s">
        <v>156</v>
      </c>
      <c r="E2" s="6" t="s">
        <v>157</v>
      </c>
      <c r="F2" s="6" t="s">
        <v>158</v>
      </c>
      <c r="G2" s="6" t="s">
        <v>159</v>
      </c>
      <c r="H2" s="6" t="s">
        <v>160</v>
      </c>
      <c r="I2" s="6" t="s">
        <v>161</v>
      </c>
      <c r="J2" s="6" t="s">
        <v>162</v>
      </c>
      <c r="K2" s="6" t="s">
        <v>163</v>
      </c>
      <c r="L2" s="6" t="s">
        <v>164</v>
      </c>
      <c r="M2" s="6" t="s">
        <v>165</v>
      </c>
      <c r="N2" s="6" t="s">
        <v>166</v>
      </c>
      <c r="O2" s="6" t="s">
        <v>167</v>
      </c>
      <c r="P2" s="6" t="s">
        <v>168</v>
      </c>
      <c r="Q2" s="6" t="s">
        <v>169</v>
      </c>
      <c r="R2" s="6" t="s">
        <v>170</v>
      </c>
      <c r="S2" s="6" t="s">
        <v>171</v>
      </c>
      <c r="T2" s="6" t="s">
        <v>172</v>
      </c>
      <c r="U2" s="6" t="s">
        <v>173</v>
      </c>
      <c r="V2" s="6" t="s">
        <v>174</v>
      </c>
      <c r="W2" s="6" t="s">
        <v>175</v>
      </c>
      <c r="X2" s="6" t="s">
        <v>176</v>
      </c>
      <c r="Y2" s="6" t="s">
        <v>177</v>
      </c>
      <c r="Z2" s="6" t="s">
        <v>178</v>
      </c>
      <c r="AA2" s="6" t="s">
        <v>179</v>
      </c>
      <c r="AB2" s="6" t="s">
        <v>180</v>
      </c>
      <c r="AC2" s="6" t="s">
        <v>181</v>
      </c>
      <c r="AD2" s="6" t="s">
        <v>182</v>
      </c>
      <c r="AE2" s="6" t="s">
        <v>183</v>
      </c>
      <c r="AF2" s="6" t="s">
        <v>184</v>
      </c>
      <c r="AG2" s="6" t="s">
        <v>185</v>
      </c>
      <c r="AH2" s="6" t="s">
        <v>186</v>
      </c>
      <c r="AI2" s="6" t="s">
        <v>187</v>
      </c>
      <c r="AJ2" s="6" t="s">
        <v>188</v>
      </c>
      <c r="AK2" s="6" t="s">
        <v>189</v>
      </c>
      <c r="AL2" s="6" t="s">
        <v>190</v>
      </c>
      <c r="AM2" s="6" t="s">
        <v>191</v>
      </c>
      <c r="AN2" s="6" t="s">
        <v>192</v>
      </c>
      <c r="AO2" s="6" t="s">
        <v>193</v>
      </c>
      <c r="AP2" s="6" t="s">
        <v>194</v>
      </c>
      <c r="AQ2" s="6" t="s">
        <v>195</v>
      </c>
      <c r="AR2" s="6" t="s">
        <v>196</v>
      </c>
      <c r="AS2" s="6" t="s">
        <v>197</v>
      </c>
      <c r="AT2" s="6" t="s">
        <v>198</v>
      </c>
      <c r="AU2" s="6" t="s">
        <v>199</v>
      </c>
      <c r="AV2" s="6" t="s">
        <v>200</v>
      </c>
      <c r="AW2" s="6" t="s">
        <v>201</v>
      </c>
      <c r="AX2" s="6" t="s">
        <v>202</v>
      </c>
      <c r="AY2" s="6" t="s">
        <v>203</v>
      </c>
      <c r="AZ2" s="6" t="s">
        <v>204</v>
      </c>
      <c r="BA2" s="6" t="s">
        <v>205</v>
      </c>
    </row>
    <row r="3" spans="1:55" s="4" customFormat="1" x14ac:dyDescent="0.2">
      <c r="A3" s="6"/>
      <c r="BB3" s="53"/>
      <c r="BC3" s="53"/>
    </row>
    <row r="7" spans="1:55" x14ac:dyDescent="0.2">
      <c r="B7" s="32"/>
    </row>
    <row r="8" spans="1:55" x14ac:dyDescent="0.2">
      <c r="F8" s="5"/>
    </row>
  </sheetData>
  <phoneticPr fontId="2" type="noConversion"/>
  <pageMargins left="0.7" right="0.7" top="0.75" bottom="0.75" header="0.3" footer="0.3"/>
  <pageSetup orientation="portrait" r:id="rId1"/>
</worksheet>
</file>

<file path=xl/worksheets/sheet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EF4E1D-6CE0-4F02-8B9E-F2818C0A814C}">
  <sheetPr>
    <tabColor theme="7" tint="0.79998168889431442"/>
  </sheetPr>
  <dimension ref="A1:BA10"/>
  <sheetViews>
    <sheetView workbookViewId="0">
      <selection activeCell="A2" sqref="A2"/>
    </sheetView>
  </sheetViews>
  <sheetFormatPr baseColWidth="10" defaultColWidth="9.1640625" defaultRowHeight="16" x14ac:dyDescent="0.2"/>
  <cols>
    <col min="1" max="1" width="15.6640625" style="4" customWidth="1"/>
    <col min="2" max="2" width="16.5" style="1" bestFit="1" customWidth="1"/>
    <col min="3" max="3" width="14.1640625" style="1" bestFit="1" customWidth="1"/>
    <col min="4" max="5" width="10.1640625" style="1" bestFit="1" customWidth="1"/>
    <col min="6" max="16384" width="9.1640625" style="1"/>
  </cols>
  <sheetData>
    <row r="1" spans="1:53" x14ac:dyDescent="0.2">
      <c r="A1" s="1" t="str">
        <f>_xlfn.CONCAT( "Table of Production Rate Forecasts by Pads [",VLOOKUP("volume", Units!$A$2:$B$11, 2, FALSE),"/", VLOOKUP("time", Units!$A$2:$B$11, 2, FALSE),"]")</f>
        <v>Table of Production Rate Forecasts by Pads [bbl/day]</v>
      </c>
    </row>
    <row r="2" spans="1:53" s="4" customFormat="1" x14ac:dyDescent="0.2">
      <c r="A2" s="6" t="s">
        <v>135</v>
      </c>
      <c r="B2" s="6" t="s">
        <v>154</v>
      </c>
      <c r="C2" s="6" t="s">
        <v>155</v>
      </c>
      <c r="D2" s="6" t="s">
        <v>156</v>
      </c>
      <c r="E2" s="6" t="s">
        <v>157</v>
      </c>
      <c r="F2" s="6" t="s">
        <v>158</v>
      </c>
      <c r="G2" s="6" t="s">
        <v>159</v>
      </c>
      <c r="H2" s="6" t="s">
        <v>160</v>
      </c>
      <c r="I2" s="6" t="s">
        <v>161</v>
      </c>
      <c r="J2" s="6" t="s">
        <v>162</v>
      </c>
      <c r="K2" s="6" t="s">
        <v>163</v>
      </c>
      <c r="L2" s="6" t="s">
        <v>164</v>
      </c>
      <c r="M2" s="6" t="s">
        <v>165</v>
      </c>
      <c r="N2" s="6" t="s">
        <v>166</v>
      </c>
      <c r="O2" s="6" t="s">
        <v>167</v>
      </c>
      <c r="P2" s="6" t="s">
        <v>168</v>
      </c>
      <c r="Q2" s="6" t="s">
        <v>169</v>
      </c>
      <c r="R2" s="6" t="s">
        <v>170</v>
      </c>
      <c r="S2" s="6" t="s">
        <v>171</v>
      </c>
      <c r="T2" s="6" t="s">
        <v>172</v>
      </c>
      <c r="U2" s="6" t="s">
        <v>173</v>
      </c>
      <c r="V2" s="6" t="s">
        <v>174</v>
      </c>
      <c r="W2" s="6" t="s">
        <v>175</v>
      </c>
      <c r="X2" s="6" t="s">
        <v>176</v>
      </c>
      <c r="Y2" s="6" t="s">
        <v>177</v>
      </c>
      <c r="Z2" s="6" t="s">
        <v>178</v>
      </c>
      <c r="AA2" s="6" t="s">
        <v>179</v>
      </c>
      <c r="AB2" s="6" t="s">
        <v>180</v>
      </c>
      <c r="AC2" s="6" t="s">
        <v>181</v>
      </c>
      <c r="AD2" s="6" t="s">
        <v>182</v>
      </c>
      <c r="AE2" s="6" t="s">
        <v>183</v>
      </c>
      <c r="AF2" s="6" t="s">
        <v>184</v>
      </c>
      <c r="AG2" s="6" t="s">
        <v>185</v>
      </c>
      <c r="AH2" s="6" t="s">
        <v>186</v>
      </c>
      <c r="AI2" s="6" t="s">
        <v>187</v>
      </c>
      <c r="AJ2" s="6" t="s">
        <v>188</v>
      </c>
      <c r="AK2" s="6" t="s">
        <v>189</v>
      </c>
      <c r="AL2" s="6" t="s">
        <v>190</v>
      </c>
      <c r="AM2" s="6" t="s">
        <v>191</v>
      </c>
      <c r="AN2" s="6" t="s">
        <v>192</v>
      </c>
      <c r="AO2" s="6" t="s">
        <v>193</v>
      </c>
      <c r="AP2" s="6" t="s">
        <v>194</v>
      </c>
      <c r="AQ2" s="6" t="s">
        <v>195</v>
      </c>
      <c r="AR2" s="6" t="s">
        <v>196</v>
      </c>
      <c r="AS2" s="6" t="s">
        <v>197</v>
      </c>
      <c r="AT2" s="6" t="s">
        <v>198</v>
      </c>
      <c r="AU2" s="6" t="s">
        <v>199</v>
      </c>
      <c r="AV2" s="6" t="s">
        <v>200</v>
      </c>
      <c r="AW2" s="6" t="s">
        <v>201</v>
      </c>
      <c r="AX2" s="6" t="s">
        <v>202</v>
      </c>
      <c r="AY2" s="6" t="s">
        <v>203</v>
      </c>
      <c r="AZ2" s="6" t="s">
        <v>204</v>
      </c>
      <c r="BA2" s="6" t="s">
        <v>205</v>
      </c>
    </row>
    <row r="3" spans="1:53" s="4" customFormat="1" x14ac:dyDescent="0.2">
      <c r="A3" s="6"/>
      <c r="B3" s="54"/>
      <c r="C3" s="54"/>
      <c r="D3" s="54"/>
      <c r="E3" s="54"/>
      <c r="F3" s="54"/>
      <c r="G3" s="54"/>
      <c r="H3" s="54"/>
      <c r="I3" s="54"/>
      <c r="J3" s="54"/>
      <c r="K3" s="54"/>
      <c r="L3" s="54"/>
      <c r="M3" s="54"/>
      <c r="N3" s="54"/>
      <c r="O3" s="54"/>
      <c r="P3" s="54"/>
      <c r="Q3" s="54"/>
      <c r="R3" s="54"/>
      <c r="S3" s="54"/>
      <c r="T3" s="54"/>
      <c r="U3" s="54"/>
      <c r="V3" s="54"/>
      <c r="W3" s="54"/>
      <c r="X3" s="54"/>
      <c r="Y3" s="54"/>
      <c r="Z3" s="54"/>
      <c r="AA3" s="54"/>
      <c r="AB3" s="54"/>
      <c r="AC3" s="54"/>
      <c r="AD3" s="54"/>
      <c r="AE3" s="54"/>
      <c r="AF3" s="54"/>
      <c r="AG3" s="54"/>
      <c r="AH3" s="54"/>
      <c r="AI3" s="54"/>
      <c r="AJ3" s="54"/>
      <c r="AK3" s="54"/>
      <c r="AL3" s="54"/>
      <c r="AM3" s="54"/>
      <c r="AN3" s="54"/>
      <c r="AO3" s="54"/>
      <c r="AP3" s="54"/>
      <c r="AQ3" s="54"/>
      <c r="AR3" s="54"/>
      <c r="AS3" s="54"/>
      <c r="AT3" s="54"/>
      <c r="AU3" s="54"/>
      <c r="AV3" s="54"/>
      <c r="AW3" s="54"/>
      <c r="AX3" s="54"/>
      <c r="AY3" s="54"/>
      <c r="AZ3" s="54"/>
      <c r="BA3" s="54"/>
    </row>
    <row r="4" spans="1:53" s="4" customFormat="1" x14ac:dyDescent="0.2">
      <c r="A4" s="6"/>
      <c r="B4" s="54"/>
      <c r="C4" s="54"/>
      <c r="D4" s="54"/>
      <c r="E4" s="54"/>
      <c r="F4" s="54"/>
      <c r="G4" s="54"/>
      <c r="H4" s="54"/>
      <c r="I4" s="54"/>
      <c r="J4" s="54"/>
      <c r="K4" s="54"/>
      <c r="L4" s="54"/>
      <c r="M4" s="54"/>
      <c r="N4" s="54"/>
      <c r="O4" s="54"/>
      <c r="P4" s="54"/>
      <c r="Q4" s="54"/>
      <c r="R4" s="54"/>
      <c r="S4" s="54"/>
      <c r="T4" s="54"/>
      <c r="U4" s="54"/>
      <c r="V4" s="54"/>
      <c r="W4" s="54"/>
      <c r="X4" s="54"/>
      <c r="Y4" s="54"/>
      <c r="Z4" s="54"/>
      <c r="AA4" s="54"/>
      <c r="AB4" s="54"/>
      <c r="AC4" s="54"/>
      <c r="AD4" s="54"/>
      <c r="AE4" s="54"/>
      <c r="AF4" s="54"/>
      <c r="AG4" s="54"/>
      <c r="AH4" s="54"/>
      <c r="AI4" s="54"/>
      <c r="AJ4" s="54"/>
      <c r="AK4" s="54"/>
      <c r="AL4" s="54"/>
      <c r="AM4" s="54"/>
      <c r="AN4" s="54"/>
      <c r="AO4" s="54"/>
      <c r="AP4" s="54"/>
      <c r="AQ4" s="54"/>
      <c r="AR4" s="54"/>
      <c r="AS4" s="54"/>
      <c r="AT4" s="54"/>
      <c r="AU4" s="54"/>
      <c r="AV4" s="54"/>
      <c r="AW4" s="54"/>
      <c r="AX4" s="54"/>
      <c r="AY4" s="54"/>
      <c r="AZ4" s="54"/>
      <c r="BA4" s="54"/>
    </row>
    <row r="5" spans="1:53" x14ac:dyDescent="0.2">
      <c r="A5" s="6"/>
      <c r="B5" s="54"/>
      <c r="C5" s="54"/>
      <c r="D5" s="54"/>
      <c r="E5" s="54"/>
      <c r="F5" s="54"/>
      <c r="G5" s="54"/>
      <c r="H5" s="54"/>
      <c r="I5" s="54"/>
      <c r="J5" s="54"/>
      <c r="K5" s="54"/>
      <c r="L5" s="54"/>
      <c r="M5" s="54"/>
      <c r="N5" s="54"/>
      <c r="O5" s="54"/>
      <c r="P5" s="54"/>
      <c r="Q5" s="54"/>
      <c r="R5" s="54"/>
      <c r="S5" s="54"/>
      <c r="T5" s="54"/>
      <c r="U5" s="54"/>
      <c r="V5" s="54"/>
      <c r="W5" s="54"/>
      <c r="X5" s="54"/>
      <c r="Y5" s="54"/>
      <c r="Z5" s="54"/>
      <c r="AA5" s="54"/>
      <c r="AB5" s="54"/>
      <c r="AC5" s="54"/>
      <c r="AD5" s="54"/>
      <c r="AE5" s="54"/>
      <c r="AF5" s="54"/>
      <c r="AG5" s="54"/>
      <c r="AH5" s="54"/>
      <c r="AI5" s="54"/>
      <c r="AJ5" s="54"/>
      <c r="AK5" s="54"/>
      <c r="AL5" s="54"/>
      <c r="AM5" s="54"/>
      <c r="AN5" s="54"/>
      <c r="AO5" s="54"/>
      <c r="AP5" s="54"/>
      <c r="AQ5" s="54"/>
      <c r="AR5" s="54"/>
      <c r="AS5" s="54"/>
      <c r="AT5" s="54"/>
      <c r="AU5" s="54"/>
      <c r="AV5" s="54"/>
      <c r="AW5" s="54"/>
      <c r="AX5" s="54"/>
      <c r="AY5" s="54"/>
      <c r="AZ5" s="54"/>
      <c r="BA5" s="54"/>
    </row>
    <row r="6" spans="1:53" x14ac:dyDescent="0.2">
      <c r="A6" s="6"/>
      <c r="B6" s="54"/>
      <c r="C6" s="54"/>
      <c r="D6" s="54"/>
      <c r="E6" s="54"/>
      <c r="F6" s="54"/>
      <c r="G6" s="54"/>
      <c r="H6" s="54"/>
      <c r="I6" s="54"/>
      <c r="J6" s="54"/>
      <c r="K6" s="54"/>
      <c r="L6" s="54"/>
      <c r="M6" s="54"/>
      <c r="N6" s="54"/>
      <c r="O6" s="54"/>
      <c r="P6" s="54"/>
      <c r="Q6" s="54"/>
      <c r="R6" s="54"/>
      <c r="S6" s="54"/>
      <c r="T6" s="54"/>
      <c r="U6" s="54"/>
      <c r="V6" s="54"/>
      <c r="W6" s="54"/>
      <c r="X6" s="54"/>
      <c r="Y6" s="54"/>
      <c r="Z6" s="54"/>
      <c r="AA6" s="54"/>
      <c r="AB6" s="54"/>
      <c r="AC6" s="54"/>
      <c r="AD6" s="54"/>
      <c r="AE6" s="54"/>
      <c r="AF6" s="54"/>
      <c r="AG6" s="54"/>
      <c r="AH6" s="54"/>
      <c r="AI6" s="54"/>
      <c r="AJ6" s="54"/>
      <c r="AK6" s="54"/>
      <c r="AL6" s="54"/>
      <c r="AM6" s="54"/>
      <c r="AN6" s="54"/>
      <c r="AO6" s="54"/>
      <c r="AP6" s="54"/>
      <c r="AQ6" s="54"/>
      <c r="AR6" s="54"/>
      <c r="AS6" s="54"/>
      <c r="AT6" s="54"/>
      <c r="AU6" s="54"/>
      <c r="AV6" s="54"/>
      <c r="AW6" s="54"/>
      <c r="AX6" s="54"/>
      <c r="AY6" s="54"/>
      <c r="AZ6" s="54"/>
      <c r="BA6" s="54"/>
    </row>
    <row r="7" spans="1:53" x14ac:dyDescent="0.2">
      <c r="B7" s="31"/>
      <c r="C7" s="32"/>
    </row>
    <row r="9" spans="1:53" x14ac:dyDescent="0.2">
      <c r="B9" s="32"/>
    </row>
    <row r="10" spans="1:53" x14ac:dyDescent="0.2">
      <c r="B10" s="32"/>
    </row>
  </sheetData>
  <phoneticPr fontId="2" type="noConversion"/>
  <pageMargins left="0.7" right="0.7" top="0.75" bottom="0.75" header="0.3" footer="0.3"/>
  <pageSetup orientation="portrait" r:id="rId1"/>
</worksheet>
</file>

<file path=xl/worksheets/sheet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666333-AE69-4574-92B2-6BE3A00DF612}">
  <sheetPr>
    <tabColor theme="7" tint="0.79998168889431442"/>
  </sheetPr>
  <dimension ref="A1:BA6"/>
  <sheetViews>
    <sheetView workbookViewId="0">
      <selection activeCell="A2" sqref="A2"/>
    </sheetView>
  </sheetViews>
  <sheetFormatPr baseColWidth="10" defaultColWidth="9.1640625" defaultRowHeight="16" x14ac:dyDescent="0.2"/>
  <cols>
    <col min="1" max="1" width="17.1640625" style="4" customWidth="1"/>
    <col min="2" max="2" width="14.1640625" style="1" bestFit="1" customWidth="1"/>
    <col min="3" max="13" width="9.1640625" style="1"/>
    <col min="14" max="15" width="11.1640625" style="1" bestFit="1" customWidth="1"/>
    <col min="16" max="23" width="10.1640625" style="1" bestFit="1" customWidth="1"/>
    <col min="24" max="16384" width="9.1640625" style="1"/>
  </cols>
  <sheetData>
    <row r="1" spans="1:53" x14ac:dyDescent="0.2">
      <c r="A1" s="1" t="str">
        <f>_xlfn.CONCAT( "Table of Flowback Rate Forecasts by Pads [",VLOOKUP("volume", Units!$A$2:$B$11, 2, FALSE),"/", VLOOKUP("time", Units!$A$2:$B$11, 2, FALSE),"]")</f>
        <v>Table of Flowback Rate Forecasts by Pads [bbl/day]</v>
      </c>
    </row>
    <row r="2" spans="1:53" s="4" customFormat="1" x14ac:dyDescent="0.2">
      <c r="A2" s="6" t="s">
        <v>137</v>
      </c>
      <c r="B2" s="6" t="s">
        <v>154</v>
      </c>
      <c r="C2" s="6" t="s">
        <v>155</v>
      </c>
      <c r="D2" s="6" t="s">
        <v>156</v>
      </c>
      <c r="E2" s="6" t="s">
        <v>157</v>
      </c>
      <c r="F2" s="6" t="s">
        <v>158</v>
      </c>
      <c r="G2" s="6" t="s">
        <v>159</v>
      </c>
      <c r="H2" s="6" t="s">
        <v>160</v>
      </c>
      <c r="I2" s="6" t="s">
        <v>161</v>
      </c>
      <c r="J2" s="6" t="s">
        <v>162</v>
      </c>
      <c r="K2" s="6" t="s">
        <v>163</v>
      </c>
      <c r="L2" s="6" t="s">
        <v>164</v>
      </c>
      <c r="M2" s="6" t="s">
        <v>165</v>
      </c>
      <c r="N2" s="6" t="s">
        <v>166</v>
      </c>
      <c r="O2" s="6" t="s">
        <v>167</v>
      </c>
      <c r="P2" s="6" t="s">
        <v>168</v>
      </c>
      <c r="Q2" s="6" t="s">
        <v>169</v>
      </c>
      <c r="R2" s="6" t="s">
        <v>170</v>
      </c>
      <c r="S2" s="6" t="s">
        <v>171</v>
      </c>
      <c r="T2" s="6" t="s">
        <v>172</v>
      </c>
      <c r="U2" s="6" t="s">
        <v>173</v>
      </c>
      <c r="V2" s="6" t="s">
        <v>174</v>
      </c>
      <c r="W2" s="6" t="s">
        <v>175</v>
      </c>
      <c r="X2" s="6" t="s">
        <v>176</v>
      </c>
      <c r="Y2" s="6" t="s">
        <v>177</v>
      </c>
      <c r="Z2" s="6" t="s">
        <v>178</v>
      </c>
      <c r="AA2" s="6" t="s">
        <v>179</v>
      </c>
      <c r="AB2" s="6" t="s">
        <v>180</v>
      </c>
      <c r="AC2" s="6" t="s">
        <v>181</v>
      </c>
      <c r="AD2" s="6" t="s">
        <v>182</v>
      </c>
      <c r="AE2" s="6" t="s">
        <v>183</v>
      </c>
      <c r="AF2" s="6" t="s">
        <v>184</v>
      </c>
      <c r="AG2" s="6" t="s">
        <v>185</v>
      </c>
      <c r="AH2" s="6" t="s">
        <v>186</v>
      </c>
      <c r="AI2" s="6" t="s">
        <v>187</v>
      </c>
      <c r="AJ2" s="6" t="s">
        <v>188</v>
      </c>
      <c r="AK2" s="6" t="s">
        <v>189</v>
      </c>
      <c r="AL2" s="6" t="s">
        <v>190</v>
      </c>
      <c r="AM2" s="6" t="s">
        <v>191</v>
      </c>
      <c r="AN2" s="6" t="s">
        <v>192</v>
      </c>
      <c r="AO2" s="6" t="s">
        <v>193</v>
      </c>
      <c r="AP2" s="6" t="s">
        <v>194</v>
      </c>
      <c r="AQ2" s="6" t="s">
        <v>195</v>
      </c>
      <c r="AR2" s="6" t="s">
        <v>196</v>
      </c>
      <c r="AS2" s="6" t="s">
        <v>197</v>
      </c>
      <c r="AT2" s="6" t="s">
        <v>198</v>
      </c>
      <c r="AU2" s="6" t="s">
        <v>199</v>
      </c>
      <c r="AV2" s="6" t="s">
        <v>200</v>
      </c>
      <c r="AW2" s="6" t="s">
        <v>201</v>
      </c>
      <c r="AX2" s="6" t="s">
        <v>202</v>
      </c>
      <c r="AY2" s="6" t="s">
        <v>203</v>
      </c>
      <c r="AZ2" s="6" t="s">
        <v>204</v>
      </c>
      <c r="BA2" s="6" t="s">
        <v>205</v>
      </c>
    </row>
    <row r="3" spans="1:53" x14ac:dyDescent="0.2">
      <c r="A3" s="6"/>
      <c r="B3" s="4"/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54"/>
      <c r="O3" s="54"/>
      <c r="P3" s="54"/>
      <c r="Q3" s="54"/>
      <c r="R3" s="54"/>
      <c r="S3" s="54"/>
      <c r="T3" s="54"/>
      <c r="U3" s="54"/>
      <c r="V3" s="54"/>
      <c r="W3" s="54"/>
      <c r="X3" s="54"/>
      <c r="Y3" s="54"/>
      <c r="Z3" s="54"/>
      <c r="AA3" s="54"/>
      <c r="AB3" s="54"/>
      <c r="AC3" s="54"/>
      <c r="AD3" s="54"/>
      <c r="AE3" s="54"/>
      <c r="AF3" s="54"/>
      <c r="AG3" s="54"/>
      <c r="AH3" s="54"/>
      <c r="AI3" s="54"/>
      <c r="AJ3" s="54"/>
      <c r="AK3" s="54"/>
      <c r="AL3" s="54"/>
      <c r="AM3" s="54"/>
      <c r="AN3" s="54"/>
      <c r="AO3" s="54"/>
      <c r="AP3" s="54"/>
      <c r="AQ3" s="54"/>
      <c r="AR3" s="54"/>
      <c r="AS3" s="54"/>
      <c r="AT3" s="54"/>
      <c r="AU3" s="54"/>
      <c r="AV3" s="54"/>
      <c r="AW3" s="54"/>
      <c r="AX3" s="54"/>
      <c r="AY3" s="54"/>
      <c r="AZ3" s="54"/>
      <c r="BA3" s="54"/>
    </row>
    <row r="5" spans="1:53" x14ac:dyDescent="0.2">
      <c r="F5" s="5"/>
    </row>
    <row r="6" spans="1:53" x14ac:dyDescent="0.2">
      <c r="A6" s="1"/>
      <c r="B6" s="32"/>
    </row>
  </sheetData>
  <phoneticPr fontId="2" type="noConversion"/>
  <pageMargins left="0.7" right="0.7" top="0.75" bottom="0.75" header="0.3" footer="0.3"/>
  <pageSetup orientation="portrait" r:id="rId1"/>
</worksheet>
</file>

<file path=xl/worksheets/sheet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444DCF-56F0-450B-930F-1DD02EF4264D}">
  <sheetPr>
    <tabColor theme="7" tint="0.79998168889431442"/>
  </sheetPr>
  <dimension ref="A1:BC23"/>
  <sheetViews>
    <sheetView workbookViewId="0"/>
  </sheetViews>
  <sheetFormatPr baseColWidth="10" defaultColWidth="9.33203125" defaultRowHeight="16" x14ac:dyDescent="0.2"/>
  <cols>
    <col min="1" max="1" width="15.6640625" style="4" customWidth="1"/>
    <col min="2" max="2" width="16.5" style="1" bestFit="1" customWidth="1"/>
    <col min="3" max="3" width="14.33203125" style="1" bestFit="1" customWidth="1"/>
    <col min="4" max="5" width="10.1640625" style="1" bestFit="1" customWidth="1"/>
    <col min="6" max="16384" width="9.33203125" style="1"/>
  </cols>
  <sheetData>
    <row r="1" spans="1:55" x14ac:dyDescent="0.2">
      <c r="A1" s="1" t="s">
        <v>247</v>
      </c>
      <c r="E1" s="1" t="s">
        <v>241</v>
      </c>
      <c r="H1" s="1" t="s">
        <v>242</v>
      </c>
      <c r="O1" s="1" t="s">
        <v>243</v>
      </c>
      <c r="Q1" s="1">
        <v>0.01</v>
      </c>
    </row>
    <row r="2" spans="1:55" s="4" customFormat="1" x14ac:dyDescent="0.2">
      <c r="A2" s="6" t="s">
        <v>206</v>
      </c>
      <c r="B2" s="6" t="s">
        <v>154</v>
      </c>
      <c r="C2" s="6" t="s">
        <v>155</v>
      </c>
      <c r="D2" s="6" t="s">
        <v>156</v>
      </c>
      <c r="E2" s="6" t="s">
        <v>157</v>
      </c>
      <c r="F2" s="6" t="s">
        <v>158</v>
      </c>
      <c r="G2" s="6" t="s">
        <v>159</v>
      </c>
      <c r="H2" s="6" t="s">
        <v>160</v>
      </c>
      <c r="I2" s="6" t="s">
        <v>161</v>
      </c>
      <c r="J2" s="6" t="s">
        <v>162</v>
      </c>
      <c r="K2" s="6" t="s">
        <v>163</v>
      </c>
      <c r="L2" s="6" t="s">
        <v>164</v>
      </c>
      <c r="M2" s="6" t="s">
        <v>165</v>
      </c>
      <c r="N2" s="6" t="s">
        <v>166</v>
      </c>
      <c r="O2" s="6" t="s">
        <v>167</v>
      </c>
      <c r="P2" s="6" t="s">
        <v>168</v>
      </c>
      <c r="Q2" s="6" t="s">
        <v>169</v>
      </c>
      <c r="R2" s="6" t="s">
        <v>170</v>
      </c>
      <c r="S2" s="6" t="s">
        <v>171</v>
      </c>
      <c r="T2" s="6" t="s">
        <v>172</v>
      </c>
      <c r="U2" s="6" t="s">
        <v>173</v>
      </c>
      <c r="V2" s="6" t="s">
        <v>174</v>
      </c>
      <c r="W2" s="6" t="s">
        <v>175</v>
      </c>
      <c r="X2" s="6" t="s">
        <v>176</v>
      </c>
      <c r="Y2" s="6" t="s">
        <v>177</v>
      </c>
      <c r="Z2" s="6" t="s">
        <v>178</v>
      </c>
      <c r="AA2" s="6" t="s">
        <v>179</v>
      </c>
      <c r="AB2" s="6" t="s">
        <v>180</v>
      </c>
      <c r="AC2" s="6" t="s">
        <v>181</v>
      </c>
      <c r="AD2" s="6" t="s">
        <v>182</v>
      </c>
      <c r="AE2" s="6" t="s">
        <v>183</v>
      </c>
      <c r="AF2" s="6" t="s">
        <v>184</v>
      </c>
      <c r="AG2" s="6" t="s">
        <v>185</v>
      </c>
      <c r="AH2" s="6" t="s">
        <v>186</v>
      </c>
      <c r="AI2" s="6" t="s">
        <v>187</v>
      </c>
      <c r="AJ2" s="6" t="s">
        <v>188</v>
      </c>
      <c r="AK2" s="6" t="s">
        <v>189</v>
      </c>
      <c r="AL2" s="6" t="s">
        <v>190</v>
      </c>
      <c r="AM2" s="6" t="s">
        <v>191</v>
      </c>
      <c r="AN2" s="6" t="s">
        <v>192</v>
      </c>
      <c r="AO2" s="6" t="s">
        <v>193</v>
      </c>
      <c r="AP2" s="6" t="s">
        <v>194</v>
      </c>
      <c r="AQ2" s="6" t="s">
        <v>195</v>
      </c>
      <c r="AR2" s="6" t="s">
        <v>196</v>
      </c>
      <c r="AS2" s="6" t="s">
        <v>197</v>
      </c>
      <c r="AT2" s="6" t="s">
        <v>198</v>
      </c>
      <c r="AU2" s="6" t="s">
        <v>199</v>
      </c>
      <c r="AV2" s="6" t="s">
        <v>200</v>
      </c>
      <c r="AW2" s="6" t="s">
        <v>201</v>
      </c>
      <c r="AX2" s="6" t="s">
        <v>202</v>
      </c>
      <c r="AY2" s="6" t="s">
        <v>203</v>
      </c>
      <c r="AZ2" s="6" t="s">
        <v>204</v>
      </c>
      <c r="BA2" s="6" t="s">
        <v>205</v>
      </c>
      <c r="BC2" s="1"/>
    </row>
    <row r="3" spans="1:55" s="4" customFormat="1" x14ac:dyDescent="0.2">
      <c r="A3" s="6"/>
      <c r="B3" s="54"/>
      <c r="C3" s="54"/>
      <c r="D3" s="54"/>
      <c r="E3" s="54"/>
      <c r="F3" s="54"/>
      <c r="G3" s="54"/>
      <c r="H3" s="54"/>
      <c r="I3" s="54"/>
      <c r="J3" s="54"/>
      <c r="K3" s="54"/>
      <c r="L3" s="54"/>
      <c r="M3" s="54"/>
      <c r="N3" s="54"/>
      <c r="O3" s="54"/>
      <c r="P3" s="54"/>
      <c r="Q3" s="54"/>
      <c r="R3" s="54"/>
      <c r="S3" s="54"/>
      <c r="T3" s="54"/>
      <c r="U3" s="54"/>
      <c r="V3" s="54"/>
      <c r="W3" s="54"/>
      <c r="X3" s="54"/>
      <c r="Y3" s="54"/>
      <c r="Z3" s="54"/>
      <c r="AA3" s="54"/>
      <c r="AB3" s="54"/>
      <c r="AC3" s="54"/>
      <c r="AD3" s="54"/>
      <c r="AE3" s="54"/>
      <c r="AF3" s="54"/>
      <c r="AG3" s="54"/>
      <c r="AH3" s="54"/>
      <c r="AI3" s="54"/>
      <c r="AJ3" s="54"/>
      <c r="AK3" s="54"/>
      <c r="AL3" s="54"/>
      <c r="AM3" s="54"/>
      <c r="AN3" s="54"/>
      <c r="AO3" s="54"/>
      <c r="AP3" s="54"/>
      <c r="AQ3" s="54"/>
      <c r="AR3" s="54"/>
      <c r="AS3" s="54"/>
      <c r="AT3" s="54"/>
      <c r="AU3" s="54"/>
      <c r="AV3" s="54"/>
      <c r="AW3" s="54"/>
      <c r="AX3" s="54"/>
      <c r="AY3" s="54"/>
      <c r="AZ3" s="54"/>
      <c r="BA3" s="54"/>
      <c r="BB3" s="54"/>
      <c r="BC3" s="1"/>
    </row>
    <row r="4" spans="1:55" s="4" customFormat="1" x14ac:dyDescent="0.2">
      <c r="A4" s="6"/>
      <c r="B4" s="54"/>
      <c r="C4" s="54"/>
      <c r="D4" s="54"/>
      <c r="E4" s="54"/>
      <c r="F4" s="54"/>
      <c r="G4" s="54"/>
      <c r="H4" s="54"/>
      <c r="I4" s="54"/>
      <c r="J4" s="54"/>
      <c r="K4" s="54"/>
      <c r="L4" s="54"/>
      <c r="M4" s="54"/>
      <c r="N4" s="54"/>
      <c r="O4" s="54"/>
      <c r="P4" s="54"/>
      <c r="Q4" s="54"/>
      <c r="R4" s="54"/>
      <c r="S4" s="54"/>
      <c r="T4" s="54"/>
      <c r="U4" s="54"/>
      <c r="V4" s="54"/>
      <c r="W4" s="54"/>
      <c r="X4" s="54"/>
      <c r="Y4" s="54"/>
      <c r="Z4" s="54"/>
      <c r="AA4" s="54"/>
      <c r="AB4" s="54"/>
      <c r="AC4" s="54"/>
      <c r="AD4" s="54"/>
      <c r="AE4" s="54"/>
      <c r="AF4" s="54"/>
      <c r="AG4" s="54"/>
      <c r="AH4" s="54"/>
      <c r="AI4" s="54"/>
      <c r="AJ4" s="54"/>
      <c r="AK4" s="54"/>
      <c r="AL4" s="54"/>
      <c r="AM4" s="54"/>
      <c r="AN4" s="54"/>
      <c r="AO4" s="54"/>
      <c r="AP4" s="54"/>
      <c r="AQ4" s="54"/>
      <c r="AR4" s="54"/>
      <c r="AS4" s="54"/>
      <c r="AT4" s="54"/>
      <c r="AU4" s="54"/>
      <c r="AV4" s="54"/>
      <c r="AW4" s="54"/>
      <c r="AX4" s="54"/>
      <c r="AY4" s="54"/>
      <c r="AZ4" s="54"/>
      <c r="BA4" s="54"/>
      <c r="BB4" s="54"/>
      <c r="BC4" s="1"/>
    </row>
    <row r="5" spans="1:55" x14ac:dyDescent="0.2">
      <c r="A5" s="6"/>
      <c r="B5" s="54"/>
      <c r="C5" s="54"/>
      <c r="D5" s="54"/>
      <c r="E5" s="54"/>
      <c r="F5" s="54"/>
      <c r="G5" s="54"/>
      <c r="H5" s="54"/>
      <c r="I5" s="54"/>
      <c r="J5" s="54"/>
      <c r="K5" s="54"/>
      <c r="L5" s="54"/>
      <c r="M5" s="54"/>
      <c r="N5" s="54"/>
      <c r="O5" s="54"/>
      <c r="P5" s="54"/>
      <c r="Q5" s="54"/>
      <c r="R5" s="54"/>
      <c r="S5" s="54"/>
      <c r="T5" s="54"/>
      <c r="U5" s="54"/>
      <c r="V5" s="54"/>
      <c r="W5" s="54"/>
      <c r="X5" s="54"/>
      <c r="Y5" s="54"/>
      <c r="Z5" s="54"/>
      <c r="AA5" s="54"/>
      <c r="AB5" s="54"/>
      <c r="AC5" s="54"/>
      <c r="AD5" s="54"/>
      <c r="AE5" s="54"/>
      <c r="AF5" s="54"/>
      <c r="AG5" s="54"/>
      <c r="AH5" s="54"/>
      <c r="AI5" s="54"/>
      <c r="AJ5" s="54"/>
      <c r="AK5" s="54"/>
      <c r="AL5" s="54"/>
      <c r="AM5" s="54"/>
      <c r="AN5" s="54"/>
      <c r="AO5" s="54"/>
      <c r="AP5" s="54"/>
      <c r="AQ5" s="54"/>
      <c r="AR5" s="54"/>
      <c r="AS5" s="54"/>
      <c r="AT5" s="54"/>
      <c r="AU5" s="54"/>
      <c r="AV5" s="54"/>
      <c r="AW5" s="54"/>
      <c r="AX5" s="54"/>
      <c r="AY5" s="54"/>
      <c r="AZ5" s="54"/>
      <c r="BA5" s="54"/>
      <c r="BB5" s="54"/>
    </row>
    <row r="6" spans="1:55" x14ac:dyDescent="0.2">
      <c r="A6" s="6"/>
      <c r="B6" s="54"/>
      <c r="C6" s="54"/>
      <c r="D6" s="54"/>
      <c r="E6" s="54"/>
      <c r="F6" s="54"/>
      <c r="G6" s="54"/>
      <c r="H6" s="54"/>
      <c r="I6" s="54"/>
      <c r="J6" s="54"/>
      <c r="K6" s="54"/>
      <c r="L6" s="54"/>
      <c r="M6" s="54"/>
      <c r="N6" s="54"/>
      <c r="O6" s="54"/>
      <c r="P6" s="54"/>
      <c r="Q6" s="54"/>
      <c r="R6" s="54"/>
      <c r="S6" s="54"/>
      <c r="T6" s="54"/>
      <c r="U6" s="54"/>
      <c r="V6" s="54"/>
      <c r="W6" s="54"/>
      <c r="X6" s="54"/>
      <c r="Y6" s="54"/>
      <c r="Z6" s="54"/>
      <c r="AA6" s="54"/>
      <c r="AB6" s="54"/>
      <c r="AC6" s="54"/>
      <c r="AD6" s="54"/>
      <c r="AE6" s="54"/>
      <c r="AF6" s="54"/>
      <c r="AG6" s="54"/>
      <c r="AH6" s="54"/>
      <c r="AI6" s="54"/>
      <c r="AJ6" s="54"/>
      <c r="AK6" s="54"/>
      <c r="AL6" s="54"/>
      <c r="AM6" s="54"/>
      <c r="AN6" s="54"/>
      <c r="AO6" s="54"/>
      <c r="AP6" s="54"/>
      <c r="AQ6" s="54"/>
      <c r="AR6" s="54"/>
      <c r="AS6" s="54"/>
      <c r="AT6" s="54"/>
      <c r="AU6" s="54"/>
      <c r="AV6" s="54"/>
      <c r="AW6" s="54"/>
      <c r="AX6" s="54"/>
      <c r="AY6" s="54"/>
      <c r="AZ6" s="54"/>
      <c r="BA6" s="54"/>
      <c r="BB6" s="54"/>
    </row>
    <row r="7" spans="1:55" x14ac:dyDescent="0.2">
      <c r="A7" s="6"/>
      <c r="B7" s="54"/>
      <c r="C7" s="54"/>
      <c r="D7" s="54"/>
      <c r="E7" s="54"/>
      <c r="F7" s="54"/>
      <c r="G7" s="54"/>
      <c r="H7" s="54"/>
      <c r="I7" s="54"/>
      <c r="J7" s="54"/>
      <c r="K7" s="54"/>
      <c r="L7" s="54"/>
      <c r="M7" s="54"/>
      <c r="N7" s="54"/>
      <c r="O7" s="54"/>
      <c r="P7" s="54"/>
      <c r="Q7" s="54"/>
      <c r="R7" s="54"/>
      <c r="S7" s="54"/>
      <c r="T7" s="54"/>
      <c r="U7" s="54"/>
      <c r="V7" s="54"/>
      <c r="W7" s="54"/>
      <c r="X7" s="54"/>
      <c r="Y7" s="54"/>
      <c r="Z7" s="54"/>
      <c r="AA7" s="54"/>
      <c r="AB7" s="54"/>
      <c r="AC7" s="54"/>
      <c r="AD7" s="54"/>
      <c r="AE7" s="54"/>
      <c r="AF7" s="54"/>
      <c r="AG7" s="54"/>
      <c r="AH7" s="54"/>
      <c r="AI7" s="54"/>
      <c r="AJ7" s="54"/>
      <c r="AK7" s="54"/>
      <c r="AL7" s="54"/>
      <c r="AM7" s="54"/>
      <c r="AN7" s="54"/>
      <c r="AO7" s="54"/>
      <c r="AP7" s="54"/>
      <c r="AQ7" s="54"/>
      <c r="AR7" s="54"/>
      <c r="AS7" s="54"/>
      <c r="AT7" s="54"/>
      <c r="AU7" s="54"/>
      <c r="AV7" s="54"/>
      <c r="AW7" s="54"/>
      <c r="AX7" s="54"/>
      <c r="AY7" s="54"/>
      <c r="AZ7" s="54"/>
      <c r="BA7" s="54"/>
      <c r="BB7" s="54"/>
    </row>
    <row r="8" spans="1:55" x14ac:dyDescent="0.2">
      <c r="A8" s="6"/>
      <c r="B8" s="54"/>
      <c r="C8" s="54"/>
      <c r="D8" s="54"/>
      <c r="E8" s="54"/>
      <c r="F8" s="54"/>
      <c r="G8" s="54"/>
      <c r="H8" s="54"/>
      <c r="I8" s="54"/>
      <c r="J8" s="54"/>
      <c r="K8" s="54"/>
      <c r="L8" s="54"/>
      <c r="M8" s="54"/>
      <c r="N8" s="54"/>
      <c r="O8" s="54"/>
      <c r="P8" s="54"/>
      <c r="Q8" s="54"/>
      <c r="R8" s="54"/>
      <c r="S8" s="54"/>
      <c r="T8" s="54"/>
      <c r="U8" s="54"/>
      <c r="V8" s="54"/>
      <c r="W8" s="54"/>
      <c r="X8" s="54"/>
      <c r="Y8" s="54"/>
      <c r="Z8" s="54"/>
      <c r="AA8" s="54"/>
      <c r="AB8" s="54"/>
      <c r="AC8" s="54"/>
      <c r="AD8" s="54"/>
      <c r="AE8" s="54"/>
      <c r="AF8" s="54"/>
      <c r="AG8" s="54"/>
      <c r="AH8" s="54"/>
      <c r="AI8" s="54"/>
      <c r="AJ8" s="54"/>
      <c r="AK8" s="54"/>
      <c r="AL8" s="54"/>
      <c r="AM8" s="54"/>
      <c r="AN8" s="54"/>
      <c r="AO8" s="54"/>
      <c r="AP8" s="54"/>
      <c r="AQ8" s="54"/>
      <c r="AR8" s="54"/>
      <c r="AS8" s="54"/>
      <c r="AT8" s="54"/>
      <c r="AU8" s="54"/>
      <c r="AV8" s="54"/>
      <c r="AW8" s="54"/>
      <c r="AX8" s="54"/>
      <c r="AY8" s="54"/>
      <c r="AZ8" s="54"/>
      <c r="BA8" s="54"/>
      <c r="BB8" s="54"/>
    </row>
    <row r="9" spans="1:55" x14ac:dyDescent="0.2">
      <c r="A9" s="6"/>
      <c r="B9" s="54"/>
      <c r="C9" s="54"/>
      <c r="D9" s="54"/>
      <c r="E9" s="54"/>
      <c r="F9" s="54"/>
      <c r="G9" s="54"/>
      <c r="H9" s="54"/>
      <c r="I9" s="54"/>
      <c r="J9" s="54"/>
      <c r="K9" s="54"/>
      <c r="L9" s="54"/>
      <c r="M9" s="54"/>
      <c r="N9" s="54"/>
      <c r="O9" s="54"/>
      <c r="P9" s="54"/>
      <c r="Q9" s="54"/>
      <c r="R9" s="54"/>
      <c r="S9" s="54"/>
      <c r="T9" s="54"/>
      <c r="U9" s="54"/>
      <c r="V9" s="54"/>
      <c r="W9" s="54"/>
      <c r="X9" s="54"/>
      <c r="Y9" s="54"/>
      <c r="Z9" s="54"/>
      <c r="AA9" s="54"/>
      <c r="AB9" s="54"/>
      <c r="AC9" s="54"/>
      <c r="AD9" s="54"/>
      <c r="AE9" s="54"/>
      <c r="AF9" s="54"/>
      <c r="AG9" s="54"/>
      <c r="AH9" s="54"/>
      <c r="AI9" s="54"/>
      <c r="AJ9" s="54"/>
      <c r="AK9" s="54"/>
      <c r="AL9" s="54"/>
      <c r="AM9" s="54"/>
      <c r="AN9" s="54"/>
      <c r="AO9" s="54"/>
      <c r="AP9" s="54"/>
      <c r="AQ9" s="54"/>
      <c r="AR9" s="54"/>
      <c r="AS9" s="54"/>
      <c r="AT9" s="54"/>
      <c r="AU9" s="54"/>
      <c r="AV9" s="54"/>
      <c r="AW9" s="54"/>
      <c r="AX9" s="54"/>
      <c r="AY9" s="54"/>
      <c r="AZ9" s="54"/>
      <c r="BA9" s="54"/>
      <c r="BB9" s="54"/>
    </row>
    <row r="10" spans="1:55" x14ac:dyDescent="0.2">
      <c r="A10" s="6"/>
      <c r="B10" s="54"/>
      <c r="C10" s="54"/>
      <c r="D10" s="54"/>
      <c r="E10" s="54"/>
      <c r="F10" s="54"/>
      <c r="G10" s="54"/>
      <c r="H10" s="54"/>
      <c r="I10" s="54"/>
      <c r="J10" s="54"/>
      <c r="K10" s="54"/>
      <c r="L10" s="54"/>
      <c r="M10" s="54"/>
      <c r="N10" s="54"/>
      <c r="O10" s="54"/>
      <c r="P10" s="54"/>
      <c r="Q10" s="54"/>
      <c r="R10" s="54"/>
      <c r="S10" s="54"/>
      <c r="T10" s="54"/>
      <c r="U10" s="54"/>
      <c r="V10" s="54"/>
      <c r="W10" s="54"/>
      <c r="X10" s="54"/>
      <c r="Y10" s="54"/>
      <c r="Z10" s="54"/>
      <c r="AA10" s="54"/>
      <c r="AB10" s="54"/>
      <c r="AC10" s="54"/>
      <c r="AD10" s="54"/>
      <c r="AE10" s="54"/>
      <c r="AF10" s="54"/>
      <c r="AG10" s="54"/>
      <c r="AH10" s="54"/>
      <c r="AI10" s="54"/>
      <c r="AJ10" s="54"/>
      <c r="AK10" s="54"/>
      <c r="AL10" s="54"/>
      <c r="AM10" s="54"/>
      <c r="AN10" s="54"/>
      <c r="AO10" s="54"/>
      <c r="AP10" s="54"/>
      <c r="AQ10" s="54"/>
      <c r="AR10" s="54"/>
      <c r="AS10" s="54"/>
      <c r="AT10" s="54"/>
      <c r="AU10" s="54"/>
      <c r="AV10" s="54"/>
      <c r="AW10" s="54"/>
      <c r="AX10" s="54"/>
      <c r="AY10" s="54"/>
      <c r="AZ10" s="54"/>
      <c r="BA10" s="54"/>
      <c r="BB10" s="54"/>
    </row>
    <row r="11" spans="1:55" x14ac:dyDescent="0.2">
      <c r="A11" s="6"/>
      <c r="B11" s="54"/>
      <c r="C11" s="54"/>
      <c r="D11" s="54"/>
      <c r="E11" s="54"/>
      <c r="F11" s="54"/>
      <c r="G11" s="54"/>
      <c r="H11" s="54"/>
      <c r="I11" s="54"/>
      <c r="J11" s="54"/>
      <c r="K11" s="54"/>
      <c r="L11" s="54"/>
      <c r="M11" s="54"/>
      <c r="N11" s="54"/>
      <c r="O11" s="54"/>
      <c r="P11" s="54"/>
      <c r="Q11" s="54"/>
      <c r="R11" s="54"/>
      <c r="S11" s="54"/>
      <c r="T11" s="54"/>
      <c r="U11" s="54"/>
      <c r="V11" s="54"/>
      <c r="W11" s="54"/>
      <c r="X11" s="54"/>
      <c r="Y11" s="54"/>
      <c r="Z11" s="54"/>
      <c r="AA11" s="54"/>
      <c r="AB11" s="54"/>
      <c r="AC11" s="54"/>
      <c r="AD11" s="54"/>
      <c r="AE11" s="54"/>
      <c r="AF11" s="54"/>
      <c r="AG11" s="54"/>
      <c r="AH11" s="54"/>
      <c r="AI11" s="54"/>
      <c r="AJ11" s="54"/>
      <c r="AK11" s="54"/>
      <c r="AL11" s="54"/>
      <c r="AM11" s="54"/>
      <c r="AN11" s="54"/>
      <c r="AO11" s="54"/>
      <c r="AP11" s="54"/>
      <c r="AQ11" s="54"/>
      <c r="AR11" s="54"/>
      <c r="AS11" s="54"/>
      <c r="AT11" s="54"/>
      <c r="AU11" s="54"/>
      <c r="AV11" s="54"/>
      <c r="AW11" s="54"/>
      <c r="AX11" s="54"/>
      <c r="AY11" s="54"/>
      <c r="AZ11" s="54"/>
      <c r="BA11" s="54"/>
      <c r="BB11" s="54"/>
    </row>
    <row r="12" spans="1:55" x14ac:dyDescent="0.2">
      <c r="A12" s="6"/>
      <c r="B12" s="54"/>
      <c r="C12" s="54"/>
      <c r="D12" s="54"/>
      <c r="E12" s="54"/>
      <c r="F12" s="54"/>
      <c r="G12" s="54"/>
      <c r="H12" s="54"/>
      <c r="I12" s="54"/>
      <c r="J12" s="54"/>
      <c r="K12" s="54"/>
      <c r="L12" s="54"/>
      <c r="M12" s="54"/>
      <c r="N12" s="54"/>
      <c r="O12" s="54"/>
      <c r="P12" s="54"/>
      <c r="Q12" s="54"/>
      <c r="R12" s="54"/>
      <c r="S12" s="54"/>
      <c r="T12" s="54"/>
      <c r="U12" s="54"/>
      <c r="V12" s="54"/>
      <c r="W12" s="54"/>
      <c r="X12" s="54"/>
      <c r="Y12" s="54"/>
      <c r="Z12" s="54"/>
      <c r="AA12" s="54"/>
      <c r="AB12" s="54"/>
      <c r="AC12" s="54"/>
      <c r="AD12" s="54"/>
      <c r="AE12" s="54"/>
      <c r="AF12" s="54"/>
      <c r="AG12" s="54"/>
      <c r="AH12" s="54"/>
      <c r="AI12" s="54"/>
      <c r="AJ12" s="54"/>
      <c r="AK12" s="54"/>
      <c r="AL12" s="54"/>
      <c r="AM12" s="54"/>
      <c r="AN12" s="54"/>
      <c r="AO12" s="54"/>
      <c r="AP12" s="54"/>
      <c r="AQ12" s="54"/>
      <c r="AR12" s="54"/>
      <c r="AS12" s="54"/>
      <c r="AT12" s="54"/>
      <c r="AU12" s="54"/>
      <c r="AV12" s="54"/>
      <c r="AW12" s="54"/>
      <c r="AX12" s="54"/>
      <c r="AY12" s="54"/>
      <c r="AZ12" s="54"/>
      <c r="BA12" s="54"/>
      <c r="BB12" s="54"/>
    </row>
    <row r="13" spans="1:55" x14ac:dyDescent="0.2">
      <c r="A13" s="6"/>
      <c r="B13" s="54"/>
      <c r="C13" s="54"/>
      <c r="D13" s="54"/>
      <c r="E13" s="54"/>
      <c r="F13" s="54"/>
      <c r="G13" s="54"/>
      <c r="H13" s="54"/>
      <c r="I13" s="54"/>
      <c r="J13" s="54"/>
      <c r="K13" s="54"/>
      <c r="L13" s="54"/>
      <c r="M13" s="54"/>
      <c r="N13" s="54"/>
      <c r="O13" s="54"/>
      <c r="P13" s="54"/>
      <c r="Q13" s="54"/>
      <c r="R13" s="54"/>
      <c r="S13" s="54"/>
      <c r="T13" s="54"/>
      <c r="U13" s="54"/>
      <c r="V13" s="54"/>
      <c r="W13" s="54"/>
      <c r="X13" s="54"/>
      <c r="Y13" s="54"/>
      <c r="Z13" s="54"/>
      <c r="AA13" s="54"/>
      <c r="AB13" s="54"/>
      <c r="AC13" s="54"/>
      <c r="AD13" s="54"/>
      <c r="AE13" s="54"/>
      <c r="AF13" s="54"/>
      <c r="AG13" s="54"/>
      <c r="AH13" s="54"/>
      <c r="AI13" s="54"/>
      <c r="AJ13" s="54"/>
      <c r="AK13" s="54"/>
      <c r="AL13" s="54"/>
      <c r="AM13" s="54"/>
      <c r="AN13" s="54"/>
      <c r="AO13" s="54"/>
      <c r="AP13" s="54"/>
      <c r="AQ13" s="54"/>
      <c r="AR13" s="54"/>
      <c r="AS13" s="54"/>
      <c r="AT13" s="54"/>
      <c r="AU13" s="54"/>
      <c r="AV13" s="54"/>
      <c r="AW13" s="54"/>
      <c r="AX13" s="54"/>
      <c r="AY13" s="54"/>
      <c r="AZ13" s="54"/>
      <c r="BA13" s="54"/>
      <c r="BB13" s="54"/>
    </row>
    <row r="14" spans="1:55" x14ac:dyDescent="0.2">
      <c r="A14" s="6"/>
      <c r="B14" s="54"/>
      <c r="C14" s="54"/>
      <c r="D14" s="54"/>
      <c r="E14" s="54"/>
      <c r="F14" s="54"/>
      <c r="G14" s="54"/>
      <c r="H14" s="54"/>
      <c r="I14" s="54"/>
      <c r="J14" s="54"/>
      <c r="K14" s="54"/>
      <c r="L14" s="54"/>
      <c r="M14" s="54"/>
      <c r="N14" s="54"/>
      <c r="O14" s="54"/>
      <c r="P14" s="54"/>
      <c r="Q14" s="54"/>
      <c r="R14" s="54"/>
      <c r="S14" s="54"/>
      <c r="T14" s="54"/>
      <c r="U14" s="54"/>
      <c r="V14" s="54"/>
      <c r="W14" s="54"/>
      <c r="X14" s="54"/>
      <c r="Y14" s="54"/>
      <c r="Z14" s="54"/>
      <c r="AA14" s="54"/>
      <c r="AB14" s="54"/>
      <c r="AC14" s="54"/>
      <c r="AD14" s="54"/>
      <c r="AE14" s="54"/>
      <c r="AF14" s="54"/>
      <c r="AG14" s="54"/>
      <c r="AH14" s="54"/>
      <c r="AI14" s="54"/>
      <c r="AJ14" s="54"/>
      <c r="AK14" s="54"/>
      <c r="AL14" s="54"/>
      <c r="AM14" s="54"/>
      <c r="AN14" s="54"/>
      <c r="AO14" s="54"/>
      <c r="AP14" s="54"/>
      <c r="AQ14" s="54"/>
      <c r="AR14" s="54"/>
      <c r="AS14" s="54"/>
      <c r="AT14" s="54"/>
      <c r="AU14" s="54"/>
      <c r="AV14" s="54"/>
      <c r="AW14" s="54"/>
      <c r="AX14" s="54"/>
      <c r="AY14" s="54"/>
      <c r="AZ14" s="54"/>
      <c r="BA14" s="54"/>
      <c r="BB14" s="54"/>
    </row>
    <row r="15" spans="1:55" x14ac:dyDescent="0.2">
      <c r="A15" s="6"/>
      <c r="B15" s="54"/>
      <c r="C15" s="54"/>
      <c r="D15" s="54"/>
      <c r="E15" s="54"/>
      <c r="F15" s="54"/>
      <c r="G15" s="54"/>
      <c r="H15" s="54"/>
      <c r="I15" s="54"/>
      <c r="J15" s="54"/>
      <c r="K15" s="54"/>
      <c r="L15" s="54"/>
      <c r="M15" s="54"/>
      <c r="N15" s="54"/>
      <c r="O15" s="54"/>
      <c r="P15" s="54"/>
      <c r="Q15" s="54"/>
      <c r="R15" s="54"/>
      <c r="S15" s="54"/>
      <c r="T15" s="54"/>
      <c r="U15" s="54"/>
      <c r="V15" s="54"/>
      <c r="W15" s="54"/>
      <c r="X15" s="54"/>
      <c r="Y15" s="54"/>
      <c r="Z15" s="54"/>
      <c r="AA15" s="54"/>
      <c r="AB15" s="54"/>
      <c r="AC15" s="54"/>
      <c r="AD15" s="54"/>
      <c r="AE15" s="54"/>
      <c r="AF15" s="54"/>
      <c r="AG15" s="54"/>
      <c r="AH15" s="54"/>
      <c r="AI15" s="54"/>
      <c r="AJ15" s="54"/>
      <c r="AK15" s="54"/>
      <c r="AL15" s="54"/>
      <c r="AM15" s="54"/>
      <c r="AN15" s="54"/>
      <c r="AO15" s="54"/>
      <c r="AP15" s="54"/>
      <c r="AQ15" s="54"/>
      <c r="AR15" s="54"/>
      <c r="AS15" s="54"/>
      <c r="AT15" s="54"/>
      <c r="AU15" s="54"/>
      <c r="AV15" s="54"/>
      <c r="AW15" s="54"/>
      <c r="AX15" s="54"/>
      <c r="AY15" s="54"/>
      <c r="AZ15" s="54"/>
      <c r="BA15" s="54"/>
      <c r="BB15" s="54"/>
    </row>
    <row r="16" spans="1:55" x14ac:dyDescent="0.2">
      <c r="A16" s="6"/>
      <c r="B16" s="54"/>
      <c r="C16" s="54"/>
      <c r="D16" s="54"/>
      <c r="E16" s="54"/>
      <c r="F16" s="54"/>
      <c r="G16" s="54"/>
      <c r="H16" s="54"/>
      <c r="I16" s="54"/>
      <c r="J16" s="54"/>
      <c r="K16" s="54"/>
      <c r="L16" s="54"/>
      <c r="M16" s="54"/>
      <c r="N16" s="54"/>
      <c r="O16" s="54"/>
      <c r="P16" s="54"/>
      <c r="Q16" s="54"/>
      <c r="R16" s="54"/>
      <c r="S16" s="54"/>
      <c r="T16" s="54"/>
      <c r="U16" s="54"/>
      <c r="V16" s="54"/>
      <c r="W16" s="54"/>
      <c r="X16" s="54"/>
      <c r="Y16" s="54"/>
      <c r="Z16" s="54"/>
      <c r="AA16" s="54"/>
      <c r="AB16" s="54"/>
      <c r="AC16" s="54"/>
      <c r="AD16" s="54"/>
      <c r="AE16" s="54"/>
      <c r="AF16" s="54"/>
      <c r="AG16" s="54"/>
      <c r="AH16" s="54"/>
      <c r="AI16" s="54"/>
      <c r="AJ16" s="54"/>
      <c r="AK16" s="54"/>
      <c r="AL16" s="54"/>
      <c r="AM16" s="54"/>
      <c r="AN16" s="54"/>
      <c r="AO16" s="54"/>
      <c r="AP16" s="54"/>
      <c r="AQ16" s="54"/>
      <c r="AR16" s="54"/>
      <c r="AS16" s="54"/>
      <c r="AT16" s="54"/>
      <c r="AU16" s="54"/>
      <c r="AV16" s="54"/>
      <c r="AW16" s="54"/>
      <c r="AX16" s="54"/>
      <c r="AY16" s="54"/>
      <c r="AZ16" s="54"/>
      <c r="BA16" s="54"/>
      <c r="BB16" s="54"/>
    </row>
    <row r="17" spans="1:54" x14ac:dyDescent="0.2">
      <c r="A17" s="6"/>
      <c r="B17" s="4"/>
      <c r="C17" s="4"/>
      <c r="D17" s="4"/>
      <c r="E17" s="4"/>
      <c r="F17" s="4"/>
      <c r="G17" s="4"/>
      <c r="H17" s="4"/>
      <c r="I17" s="4"/>
      <c r="J17" s="4"/>
      <c r="K17" s="4"/>
      <c r="L17" s="4"/>
      <c r="M17" s="4"/>
      <c r="N17" s="54"/>
      <c r="O17" s="54"/>
      <c r="P17" s="54"/>
      <c r="Q17" s="54"/>
      <c r="R17" s="54"/>
      <c r="S17" s="54"/>
      <c r="T17" s="54"/>
      <c r="U17" s="54"/>
      <c r="V17" s="54"/>
      <c r="W17" s="54"/>
      <c r="X17" s="54"/>
      <c r="Y17" s="54"/>
      <c r="Z17" s="54"/>
      <c r="AA17" s="54"/>
      <c r="AB17" s="54"/>
      <c r="AC17" s="54"/>
      <c r="AD17" s="54"/>
      <c r="AE17" s="54"/>
      <c r="AF17" s="54"/>
      <c r="AG17" s="54"/>
      <c r="AH17" s="54"/>
      <c r="AI17" s="54"/>
      <c r="AJ17" s="54"/>
      <c r="AK17" s="54"/>
      <c r="AL17" s="54"/>
      <c r="AM17" s="54"/>
      <c r="AN17" s="54"/>
      <c r="AO17" s="54"/>
      <c r="AP17" s="54"/>
      <c r="AQ17" s="54"/>
      <c r="AR17" s="54"/>
      <c r="AS17" s="54"/>
      <c r="AT17" s="54"/>
      <c r="AU17" s="54"/>
      <c r="AV17" s="54"/>
      <c r="AW17" s="54"/>
      <c r="AX17" s="54"/>
      <c r="AY17" s="54"/>
      <c r="AZ17" s="54"/>
      <c r="BA17" s="54"/>
      <c r="BB17" s="54"/>
    </row>
    <row r="18" spans="1:54" x14ac:dyDescent="0.2">
      <c r="A18" s="6"/>
      <c r="B18" s="6"/>
      <c r="C18" s="6"/>
      <c r="D18" s="6"/>
      <c r="E18" s="6"/>
      <c r="F18" s="6"/>
      <c r="G18" s="4"/>
      <c r="H18" s="4"/>
      <c r="I18" s="4"/>
      <c r="J18" s="4"/>
      <c r="K18" s="4"/>
      <c r="L18" s="4"/>
      <c r="M18" s="4"/>
      <c r="N18" s="54"/>
      <c r="O18" s="54"/>
      <c r="P18" s="54"/>
      <c r="Q18" s="54"/>
      <c r="R18" s="54"/>
      <c r="S18" s="54"/>
      <c r="T18" s="54"/>
      <c r="U18" s="54"/>
      <c r="V18" s="54"/>
      <c r="W18" s="54"/>
      <c r="X18" s="54"/>
      <c r="Y18" s="54"/>
      <c r="Z18" s="54"/>
      <c r="AA18" s="54"/>
      <c r="AB18" s="54"/>
      <c r="AC18" s="54"/>
      <c r="AD18" s="54"/>
      <c r="AE18" s="54"/>
      <c r="AF18" s="54"/>
      <c r="AG18" s="54"/>
      <c r="AH18" s="54"/>
      <c r="AI18" s="54"/>
      <c r="AJ18" s="54"/>
      <c r="AK18" s="54"/>
      <c r="AL18" s="54"/>
      <c r="AM18" s="54"/>
      <c r="AN18" s="54"/>
      <c r="AO18" s="54"/>
      <c r="AP18" s="54"/>
      <c r="AQ18" s="54"/>
      <c r="AR18" s="54"/>
      <c r="AS18" s="54"/>
      <c r="AT18" s="54"/>
      <c r="AU18" s="54"/>
      <c r="AV18" s="54"/>
      <c r="AW18" s="54"/>
      <c r="AX18" s="54"/>
      <c r="AY18" s="54"/>
      <c r="AZ18" s="54"/>
      <c r="BA18" s="54"/>
      <c r="BB18" s="54"/>
    </row>
    <row r="19" spans="1:54" x14ac:dyDescent="0.2">
      <c r="A19" s="6"/>
      <c r="B19" s="4"/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54"/>
      <c r="O19" s="54"/>
      <c r="P19" s="54"/>
      <c r="Q19" s="54"/>
      <c r="R19" s="54"/>
      <c r="S19" s="54"/>
      <c r="T19" s="54"/>
      <c r="U19" s="54"/>
      <c r="V19" s="54"/>
      <c r="W19" s="54"/>
      <c r="X19" s="54"/>
      <c r="Y19" s="54"/>
      <c r="Z19" s="54"/>
      <c r="AA19" s="54"/>
      <c r="AB19" s="54"/>
      <c r="AC19" s="54"/>
      <c r="AD19" s="54"/>
      <c r="AE19" s="54"/>
      <c r="AF19" s="54"/>
      <c r="AG19" s="54"/>
      <c r="AH19" s="54"/>
      <c r="AI19" s="54"/>
      <c r="AJ19" s="54"/>
      <c r="AK19" s="54"/>
      <c r="AL19" s="54"/>
      <c r="AM19" s="54"/>
      <c r="AN19" s="54"/>
      <c r="AO19" s="54"/>
      <c r="AP19" s="54"/>
      <c r="AQ19" s="54"/>
      <c r="AR19" s="54"/>
      <c r="AS19" s="54"/>
      <c r="AT19" s="54"/>
      <c r="AU19" s="54"/>
      <c r="AV19" s="54"/>
      <c r="AW19" s="54"/>
      <c r="AX19" s="54"/>
      <c r="AY19" s="54"/>
      <c r="AZ19" s="54"/>
      <c r="BA19" s="54"/>
      <c r="BB19" s="54"/>
    </row>
    <row r="20" spans="1:54" x14ac:dyDescent="0.2">
      <c r="B20" s="31"/>
      <c r="C20" s="32"/>
    </row>
    <row r="22" spans="1:54" x14ac:dyDescent="0.2">
      <c r="B22" s="32"/>
    </row>
    <row r="23" spans="1:54" x14ac:dyDescent="0.2">
      <c r="B23" s="32"/>
    </row>
  </sheetData>
  <pageMargins left="0.7" right="0.7" top="0.75" bottom="0.75" header="0.3" footer="0.3"/>
  <pageSetup orientation="portrait" r:id="rId1"/>
</worksheet>
</file>

<file path=xl/worksheets/sheet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4F1704-24BE-48F1-9574-42F155399A4D}">
  <sheetPr>
    <tabColor rgb="FFD9C6FE"/>
  </sheetPr>
  <dimension ref="A1:U23"/>
  <sheetViews>
    <sheetView showZeros="0" zoomScaleNormal="100" workbookViewId="0">
      <selection activeCell="A2" sqref="A2"/>
    </sheetView>
  </sheetViews>
  <sheetFormatPr baseColWidth="10" defaultColWidth="9.1640625" defaultRowHeight="16" x14ac:dyDescent="0.2"/>
  <cols>
    <col min="1" max="16384" width="9.1640625" style="1"/>
  </cols>
  <sheetData>
    <row r="1" spans="1:21" x14ac:dyDescent="0.2">
      <c r="A1" s="1" t="str">
        <f>_xlfn.CONCAT( "Table of Initial Pipeline Capacity between Sites [",VLOOKUP("volume", Units!$A$2:$B$11, 2, FALSE),"/", VLOOKUP("time", Units!$A$2:$B$11, 2, FALSE),"]")</f>
        <v>Table of Initial Pipeline Capacity between Sites [bbl/day]</v>
      </c>
    </row>
    <row r="2" spans="1:21" x14ac:dyDescent="0.2">
      <c r="A2" s="6" t="s">
        <v>206</v>
      </c>
      <c r="B2" s="6"/>
      <c r="C2" s="6"/>
      <c r="D2" s="6"/>
      <c r="E2" s="6"/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</row>
    <row r="3" spans="1:21" x14ac:dyDescent="0.2">
      <c r="A3" s="6"/>
      <c r="B3" s="4"/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</row>
    <row r="4" spans="1:21" x14ac:dyDescent="0.2">
      <c r="A4" s="6"/>
      <c r="B4" s="4"/>
      <c r="C4" s="4"/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</row>
    <row r="5" spans="1:21" x14ac:dyDescent="0.2">
      <c r="A5" s="6"/>
      <c r="B5" s="4"/>
      <c r="C5" s="4"/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</row>
    <row r="6" spans="1:21" x14ac:dyDescent="0.2">
      <c r="A6" s="6"/>
      <c r="B6" s="4"/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</row>
    <row r="7" spans="1:21" x14ac:dyDescent="0.2">
      <c r="A7" s="6"/>
      <c r="B7" s="4"/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</row>
    <row r="8" spans="1:21" x14ac:dyDescent="0.2">
      <c r="A8" s="6"/>
      <c r="B8" s="4"/>
      <c r="C8" s="4"/>
      <c r="D8" s="4"/>
      <c r="E8" s="4"/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</row>
    <row r="9" spans="1:21" x14ac:dyDescent="0.2">
      <c r="A9" s="6"/>
      <c r="B9" s="4"/>
      <c r="C9" s="4"/>
      <c r="D9" s="4"/>
      <c r="E9" s="4"/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</row>
    <row r="10" spans="1:21" x14ac:dyDescent="0.2">
      <c r="A10" s="6"/>
      <c r="B10" s="4"/>
      <c r="C10" s="4"/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</row>
    <row r="11" spans="1:21" x14ac:dyDescent="0.2">
      <c r="A11" s="6"/>
      <c r="B11" s="4"/>
      <c r="C11" s="4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</row>
    <row r="12" spans="1:21" x14ac:dyDescent="0.2">
      <c r="A12" s="6"/>
      <c r="B12" s="4"/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</row>
    <row r="13" spans="1:21" x14ac:dyDescent="0.2">
      <c r="A13" s="6"/>
      <c r="B13" s="4"/>
      <c r="C13" s="4"/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</row>
    <row r="14" spans="1:21" x14ac:dyDescent="0.2">
      <c r="A14" s="6"/>
      <c r="B14" s="4"/>
      <c r="C14" s="4"/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</row>
    <row r="15" spans="1:21" x14ac:dyDescent="0.2">
      <c r="A15" s="6"/>
      <c r="B15" s="4"/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</row>
    <row r="16" spans="1:21" x14ac:dyDescent="0.2">
      <c r="A16" s="6"/>
      <c r="B16" s="4"/>
      <c r="C16" s="4"/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</row>
    <row r="17" spans="1:21" x14ac:dyDescent="0.2">
      <c r="A17" s="6"/>
      <c r="B17" s="4"/>
      <c r="C17" s="4"/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</row>
    <row r="18" spans="1:21" x14ac:dyDescent="0.2">
      <c r="A18" s="6"/>
      <c r="B18" s="4"/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</row>
    <row r="19" spans="1:21" x14ac:dyDescent="0.2">
      <c r="A19" s="6"/>
      <c r="B19" s="4"/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</row>
    <row r="20" spans="1:21" x14ac:dyDescent="0.2">
      <c r="A20" s="6"/>
      <c r="B20" s="4"/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</row>
    <row r="21" spans="1:21" x14ac:dyDescent="0.2">
      <c r="A21" s="6"/>
      <c r="B21" s="4"/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</row>
    <row r="22" spans="1:21" x14ac:dyDescent="0.2">
      <c r="A22" s="6"/>
      <c r="B22" s="4"/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</row>
    <row r="23" spans="1:21" x14ac:dyDescent="0.2">
      <c r="A23" s="6"/>
      <c r="B23" s="4"/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</row>
  </sheetData>
  <pageMargins left="0.7" right="0.7" top="0.75" bottom="0.75" header="0.3" footer="0.3"/>
  <pageSetup orientation="portrait" r:id="rId1"/>
</worksheet>
</file>

<file path=xl/worksheets/sheet5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7E21CA-E0F8-4445-8FC2-328828AC1FFE}">
  <sheetPr>
    <tabColor rgb="FFD9C6FE"/>
  </sheetPr>
  <dimension ref="A1:BJ63"/>
  <sheetViews>
    <sheetView zoomScaleNormal="100" workbookViewId="0">
      <pane xSplit="1" ySplit="2" topLeftCell="B3" activePane="bottomRight" state="frozen"/>
      <selection activeCell="A5" sqref="A5"/>
      <selection pane="topRight" activeCell="A5" sqref="A5"/>
      <selection pane="bottomLeft" activeCell="A5" sqref="A5"/>
      <selection pane="bottomRight"/>
    </sheetView>
  </sheetViews>
  <sheetFormatPr baseColWidth="10" defaultColWidth="9.33203125" defaultRowHeight="16" x14ac:dyDescent="0.2"/>
  <cols>
    <col min="1" max="2" width="15.6640625" style="1" customWidth="1"/>
    <col min="3" max="20" width="9.33203125" style="1"/>
    <col min="21" max="21" width="12.1640625" style="1" bestFit="1" customWidth="1"/>
    <col min="22" max="16384" width="9.33203125" style="1"/>
  </cols>
  <sheetData>
    <row r="1" spans="1:62" x14ac:dyDescent="0.2">
      <c r="A1" s="1" t="s">
        <v>244</v>
      </c>
    </row>
    <row r="2" spans="1:62" x14ac:dyDescent="0.2">
      <c r="A2" s="6" t="s">
        <v>206</v>
      </c>
      <c r="B2" s="6"/>
      <c r="C2" s="6"/>
      <c r="D2" s="6"/>
      <c r="E2" s="6"/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55"/>
      <c r="T2" s="55"/>
      <c r="U2" s="55"/>
      <c r="V2" s="55"/>
      <c r="W2" s="55"/>
      <c r="X2" s="55"/>
      <c r="Y2" s="55"/>
      <c r="Z2" s="55"/>
      <c r="AA2" s="55"/>
      <c r="AB2" s="55"/>
      <c r="AC2" s="55"/>
      <c r="AD2" s="55"/>
      <c r="AE2" s="55"/>
      <c r="AF2" s="55"/>
      <c r="AG2" s="55"/>
      <c r="AH2" s="55"/>
      <c r="AI2" s="55"/>
      <c r="AJ2" s="55"/>
      <c r="AK2" s="55"/>
      <c r="AL2" s="55"/>
      <c r="AM2" s="55"/>
      <c r="AN2" s="55"/>
      <c r="AO2" s="55"/>
      <c r="AP2" s="55"/>
      <c r="AQ2" s="55"/>
      <c r="AR2" s="55"/>
      <c r="AS2" s="55"/>
      <c r="AT2" s="55"/>
      <c r="AU2" s="55"/>
      <c r="AV2" s="55"/>
      <c r="AW2" s="55"/>
      <c r="AX2" s="55"/>
      <c r="AY2" s="55"/>
      <c r="AZ2" s="55"/>
      <c r="BA2" s="55"/>
      <c r="BB2" s="55"/>
      <c r="BC2" s="55"/>
      <c r="BD2" s="55"/>
      <c r="BE2" s="55"/>
      <c r="BF2" s="55"/>
      <c r="BG2" s="55"/>
      <c r="BH2" s="55"/>
      <c r="BI2" s="55"/>
      <c r="BJ2" s="55"/>
    </row>
    <row r="3" spans="1:62" x14ac:dyDescent="0.2">
      <c r="A3" s="6"/>
      <c r="B3" s="4"/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  <c r="AA3" s="4"/>
      <c r="AB3" s="4"/>
      <c r="AC3" s="4"/>
      <c r="AD3" s="4"/>
      <c r="AE3" s="4"/>
      <c r="AF3" s="4"/>
      <c r="AG3" s="4"/>
      <c r="AH3" s="4"/>
      <c r="AI3" s="4"/>
      <c r="AJ3" s="4"/>
      <c r="AK3" s="4"/>
      <c r="AL3" s="4"/>
      <c r="AM3" s="4"/>
      <c r="AN3" s="4"/>
      <c r="AO3" s="4"/>
      <c r="AP3" s="4"/>
      <c r="AQ3" s="4"/>
      <c r="AR3" s="4"/>
      <c r="AS3" s="4"/>
      <c r="AT3" s="4"/>
      <c r="AU3" s="4"/>
      <c r="AV3" s="4"/>
      <c r="AW3" s="4"/>
      <c r="AX3" s="4"/>
      <c r="AY3" s="4"/>
      <c r="AZ3" s="4"/>
      <c r="BA3" s="4"/>
      <c r="BB3" s="4"/>
      <c r="BC3" s="4"/>
      <c r="BD3" s="4"/>
      <c r="BE3" s="4"/>
      <c r="BF3" s="4"/>
      <c r="BG3" s="4"/>
      <c r="BH3" s="4"/>
      <c r="BI3" s="4"/>
      <c r="BJ3" s="4"/>
    </row>
    <row r="4" spans="1:62" x14ac:dyDescent="0.2">
      <c r="A4" s="6"/>
      <c r="B4" s="4"/>
      <c r="C4" s="4"/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  <c r="AA4" s="4"/>
      <c r="AB4" s="4"/>
      <c r="AC4" s="4"/>
      <c r="AD4" s="4"/>
      <c r="AE4" s="4"/>
      <c r="AF4" s="4"/>
      <c r="AG4" s="4"/>
      <c r="AH4" s="4"/>
      <c r="AI4" s="4"/>
      <c r="AJ4" s="4"/>
      <c r="AK4" s="4"/>
      <c r="AL4" s="4"/>
      <c r="AM4" s="4"/>
      <c r="AN4" s="4"/>
      <c r="AO4" s="4"/>
      <c r="AP4" s="4"/>
      <c r="AQ4" s="4"/>
      <c r="AR4" s="4"/>
      <c r="AS4" s="4"/>
      <c r="AT4" s="4"/>
      <c r="AU4" s="4"/>
      <c r="AV4" s="4"/>
      <c r="AW4" s="4"/>
      <c r="AX4" s="4"/>
      <c r="AY4" s="4"/>
      <c r="AZ4" s="4"/>
      <c r="BA4" s="4"/>
      <c r="BB4" s="4"/>
      <c r="BC4" s="4"/>
      <c r="BD4" s="4"/>
      <c r="BE4" s="4"/>
      <c r="BF4" s="4"/>
      <c r="BG4" s="4"/>
      <c r="BH4" s="4"/>
      <c r="BI4" s="4"/>
      <c r="BJ4" s="4"/>
    </row>
    <row r="5" spans="1:62" x14ac:dyDescent="0.2">
      <c r="A5" s="6"/>
      <c r="B5" s="4"/>
      <c r="C5" s="4"/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  <c r="AA5" s="4"/>
      <c r="AB5" s="4"/>
      <c r="AC5" s="4"/>
      <c r="AD5" s="4"/>
      <c r="AE5" s="4"/>
      <c r="AF5" s="4"/>
      <c r="AG5" s="4"/>
      <c r="AH5" s="4"/>
      <c r="AI5" s="4"/>
      <c r="AJ5" s="4"/>
      <c r="AK5" s="4"/>
      <c r="AL5" s="4"/>
      <c r="AM5" s="4"/>
      <c r="AN5" s="4"/>
      <c r="AO5" s="4"/>
      <c r="AP5" s="4"/>
      <c r="AQ5" s="4"/>
      <c r="AR5" s="4"/>
      <c r="AS5" s="4"/>
      <c r="AT5" s="4"/>
      <c r="AU5" s="4"/>
      <c r="AV5" s="4"/>
      <c r="AW5" s="4"/>
      <c r="AX5" s="4"/>
      <c r="AY5" s="4"/>
      <c r="AZ5" s="4"/>
      <c r="BA5" s="4"/>
      <c r="BB5" s="4"/>
      <c r="BC5" s="4"/>
      <c r="BD5" s="4"/>
      <c r="BE5" s="4"/>
      <c r="BF5" s="4"/>
      <c r="BG5" s="4"/>
      <c r="BH5" s="4"/>
      <c r="BI5" s="4"/>
      <c r="BJ5" s="4"/>
    </row>
    <row r="6" spans="1:62" x14ac:dyDescent="0.2">
      <c r="A6" s="6"/>
      <c r="B6" s="4"/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  <c r="AA6" s="4"/>
      <c r="AB6" s="4"/>
      <c r="AC6" s="4"/>
      <c r="AD6" s="4"/>
      <c r="AE6" s="4"/>
      <c r="AF6" s="4"/>
      <c r="AG6" s="4"/>
      <c r="AH6" s="4"/>
      <c r="AI6" s="4"/>
      <c r="AJ6" s="4"/>
      <c r="AK6" s="4"/>
      <c r="AL6" s="4"/>
      <c r="AM6" s="4"/>
      <c r="AN6" s="4"/>
      <c r="AO6" s="4"/>
      <c r="AP6" s="4"/>
      <c r="AQ6" s="4"/>
      <c r="AR6" s="4"/>
      <c r="AS6" s="4"/>
      <c r="AT6" s="4"/>
      <c r="AU6" s="4"/>
      <c r="AV6" s="4"/>
      <c r="AW6" s="4"/>
      <c r="AX6" s="4"/>
      <c r="AY6" s="4"/>
      <c r="AZ6" s="4"/>
      <c r="BA6" s="4"/>
      <c r="BB6" s="4"/>
      <c r="BC6" s="4"/>
      <c r="BD6" s="4"/>
      <c r="BE6" s="4"/>
      <c r="BF6" s="4"/>
      <c r="BG6" s="4"/>
      <c r="BH6" s="4"/>
      <c r="BI6" s="4"/>
      <c r="BJ6" s="4"/>
    </row>
    <row r="7" spans="1:62" x14ac:dyDescent="0.2">
      <c r="A7" s="6"/>
      <c r="B7" s="4"/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  <c r="AA7" s="4"/>
      <c r="AB7" s="4"/>
      <c r="AC7" s="4"/>
      <c r="AD7" s="4"/>
      <c r="AE7" s="4"/>
      <c r="AF7" s="4"/>
      <c r="AG7" s="4"/>
      <c r="AH7" s="4"/>
      <c r="AI7" s="4"/>
      <c r="AJ7" s="4"/>
      <c r="AK7" s="4"/>
      <c r="AL7" s="4"/>
      <c r="AM7" s="4"/>
      <c r="AN7" s="4"/>
      <c r="AO7" s="4"/>
      <c r="AP7" s="4"/>
      <c r="AQ7" s="4"/>
      <c r="AR7" s="4"/>
      <c r="AS7" s="4"/>
      <c r="AT7" s="4"/>
      <c r="AU7" s="4"/>
      <c r="AV7" s="4"/>
      <c r="AW7" s="4"/>
      <c r="AX7" s="4"/>
      <c r="AY7" s="4"/>
      <c r="AZ7" s="4"/>
      <c r="BA7" s="4"/>
      <c r="BB7" s="4"/>
      <c r="BC7" s="4"/>
      <c r="BD7" s="4"/>
      <c r="BE7" s="4"/>
      <c r="BF7" s="4"/>
      <c r="BG7" s="4"/>
      <c r="BH7" s="4"/>
      <c r="BI7" s="4"/>
      <c r="BJ7" s="4"/>
    </row>
    <row r="8" spans="1:62" x14ac:dyDescent="0.2">
      <c r="A8" s="6"/>
      <c r="B8" s="4"/>
      <c r="C8" s="4"/>
      <c r="D8" s="4"/>
      <c r="E8" s="4"/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  <c r="AA8" s="4"/>
      <c r="AB8" s="4"/>
      <c r="AC8" s="4"/>
      <c r="AD8" s="4"/>
      <c r="AE8" s="4"/>
      <c r="AF8" s="4"/>
      <c r="AG8" s="4"/>
      <c r="AH8" s="4"/>
      <c r="AI8" s="4"/>
      <c r="AJ8" s="4"/>
      <c r="AK8" s="4"/>
      <c r="AL8" s="4"/>
      <c r="AM8" s="4"/>
      <c r="AN8" s="4"/>
      <c r="AO8" s="4"/>
      <c r="AP8" s="4"/>
      <c r="AQ8" s="4"/>
      <c r="AR8" s="4"/>
      <c r="AS8" s="4"/>
      <c r="AT8" s="4"/>
      <c r="AU8" s="4"/>
      <c r="AV8" s="4"/>
      <c r="AW8" s="4"/>
      <c r="AX8" s="4"/>
      <c r="AY8" s="4"/>
      <c r="AZ8" s="4"/>
      <c r="BA8" s="4"/>
      <c r="BB8" s="4"/>
      <c r="BC8" s="4"/>
      <c r="BD8" s="4"/>
      <c r="BE8" s="4"/>
      <c r="BF8" s="4"/>
      <c r="BG8" s="4"/>
      <c r="BH8" s="4"/>
      <c r="BI8" s="4"/>
      <c r="BJ8" s="4"/>
    </row>
    <row r="9" spans="1:62" x14ac:dyDescent="0.2">
      <c r="A9" s="6"/>
      <c r="B9" s="4"/>
      <c r="C9" s="4"/>
      <c r="D9" s="4"/>
      <c r="E9" s="4"/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  <c r="AA9" s="4"/>
      <c r="AB9" s="4"/>
      <c r="AC9" s="4"/>
      <c r="AD9" s="4"/>
      <c r="AE9" s="4"/>
      <c r="AF9" s="4"/>
      <c r="AG9" s="4"/>
      <c r="AH9" s="4"/>
      <c r="AI9" s="4"/>
      <c r="AJ9" s="4"/>
      <c r="AK9" s="4"/>
      <c r="AL9" s="4"/>
      <c r="AM9" s="4"/>
      <c r="AN9" s="4"/>
      <c r="AO9" s="4"/>
      <c r="AP9" s="4"/>
      <c r="AQ9" s="4"/>
      <c r="AR9" s="4"/>
      <c r="AS9" s="4"/>
      <c r="AT9" s="4"/>
      <c r="AU9" s="4"/>
      <c r="AV9" s="4"/>
      <c r="AW9" s="4"/>
      <c r="AX9" s="4"/>
      <c r="AY9" s="4"/>
      <c r="AZ9" s="4"/>
      <c r="BA9" s="4"/>
      <c r="BB9" s="4"/>
      <c r="BC9" s="4"/>
      <c r="BD9" s="4"/>
      <c r="BE9" s="4"/>
      <c r="BF9" s="4"/>
      <c r="BG9" s="4"/>
      <c r="BH9" s="4"/>
      <c r="BI9" s="4"/>
      <c r="BJ9" s="4"/>
    </row>
    <row r="10" spans="1:62" x14ac:dyDescent="0.2">
      <c r="A10" s="6"/>
      <c r="B10" s="4"/>
      <c r="C10" s="4"/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  <c r="AA10" s="4"/>
      <c r="AB10" s="4"/>
      <c r="AC10" s="4"/>
      <c r="AD10" s="4"/>
      <c r="AE10" s="4"/>
      <c r="AF10" s="4"/>
      <c r="AG10" s="4"/>
      <c r="AH10" s="4"/>
      <c r="AI10" s="4"/>
      <c r="AJ10" s="4"/>
      <c r="AK10" s="4"/>
      <c r="AL10" s="4"/>
      <c r="AM10" s="4"/>
      <c r="AN10" s="4"/>
      <c r="AO10" s="4"/>
      <c r="AP10" s="4"/>
      <c r="AQ10" s="4"/>
      <c r="AR10" s="4"/>
      <c r="AS10" s="4"/>
      <c r="AT10" s="4"/>
      <c r="AU10" s="4"/>
      <c r="AV10" s="4"/>
      <c r="AW10" s="4"/>
      <c r="AX10" s="4"/>
      <c r="AY10" s="4"/>
      <c r="AZ10" s="4"/>
      <c r="BA10" s="4"/>
      <c r="BB10" s="4"/>
      <c r="BC10" s="4"/>
      <c r="BD10" s="4"/>
      <c r="BE10" s="4"/>
      <c r="BF10" s="4"/>
      <c r="BG10" s="4"/>
      <c r="BH10" s="4"/>
      <c r="BI10" s="4"/>
      <c r="BJ10" s="4"/>
    </row>
    <row r="11" spans="1:62" x14ac:dyDescent="0.2">
      <c r="A11" s="6"/>
      <c r="B11" s="4"/>
      <c r="C11" s="4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  <c r="AA11" s="4"/>
      <c r="AB11" s="4"/>
      <c r="AC11" s="4"/>
      <c r="AD11" s="4"/>
      <c r="AE11" s="4"/>
      <c r="AF11" s="4"/>
      <c r="AG11" s="4"/>
      <c r="AH11" s="4"/>
      <c r="AI11" s="4"/>
      <c r="AJ11" s="4"/>
      <c r="AK11" s="4"/>
      <c r="AL11" s="4"/>
      <c r="AM11" s="4"/>
      <c r="AN11" s="4"/>
      <c r="AO11" s="4"/>
      <c r="AP11" s="4"/>
      <c r="AQ11" s="4"/>
      <c r="AR11" s="4"/>
      <c r="AS11" s="4"/>
      <c r="AT11" s="4"/>
      <c r="AU11" s="4"/>
      <c r="AV11" s="4"/>
      <c r="AW11" s="4"/>
      <c r="AX11" s="4"/>
      <c r="AY11" s="4"/>
      <c r="AZ11" s="4"/>
      <c r="BA11" s="4"/>
      <c r="BB11" s="4"/>
      <c r="BC11" s="4"/>
      <c r="BD11" s="4"/>
      <c r="BE11" s="4"/>
      <c r="BF11" s="4"/>
      <c r="BG11" s="4"/>
      <c r="BH11" s="4"/>
      <c r="BI11" s="4"/>
      <c r="BJ11" s="4"/>
    </row>
    <row r="12" spans="1:62" x14ac:dyDescent="0.2">
      <c r="A12" s="6"/>
      <c r="B12" s="4"/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  <c r="AA12" s="4"/>
      <c r="AB12" s="4"/>
      <c r="AC12" s="4"/>
      <c r="AD12" s="4"/>
      <c r="AE12" s="4"/>
      <c r="AF12" s="4"/>
      <c r="AG12" s="4"/>
      <c r="AH12" s="4"/>
      <c r="AI12" s="4"/>
      <c r="AJ12" s="4"/>
      <c r="AK12" s="4"/>
      <c r="AL12" s="4"/>
      <c r="AM12" s="4"/>
      <c r="AN12" s="4"/>
      <c r="AO12" s="4"/>
      <c r="AP12" s="4"/>
      <c r="AQ12" s="4"/>
      <c r="AR12" s="4"/>
      <c r="AS12" s="4"/>
      <c r="AT12" s="4"/>
      <c r="AU12" s="4"/>
      <c r="AV12" s="4"/>
      <c r="AW12" s="4"/>
      <c r="AX12" s="4"/>
      <c r="AY12" s="4"/>
      <c r="AZ12" s="4"/>
      <c r="BA12" s="4"/>
      <c r="BB12" s="4"/>
      <c r="BC12" s="4"/>
      <c r="BD12" s="4"/>
      <c r="BE12" s="4"/>
      <c r="BF12" s="4"/>
      <c r="BG12" s="4"/>
      <c r="BH12" s="4"/>
      <c r="BI12" s="4"/>
      <c r="BJ12" s="4"/>
    </row>
    <row r="13" spans="1:62" x14ac:dyDescent="0.2">
      <c r="A13" s="6"/>
      <c r="B13" s="4"/>
      <c r="C13" s="4"/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  <c r="AA13" s="4"/>
      <c r="AB13" s="4"/>
      <c r="AC13" s="4"/>
      <c r="AD13" s="4"/>
      <c r="AE13" s="4"/>
      <c r="AF13" s="4"/>
      <c r="AG13" s="4"/>
      <c r="AH13" s="4"/>
      <c r="AI13" s="4"/>
      <c r="AJ13" s="4"/>
      <c r="AK13" s="4"/>
      <c r="AL13" s="4"/>
      <c r="AM13" s="4"/>
      <c r="AN13" s="4"/>
      <c r="AO13" s="4"/>
      <c r="AP13" s="4"/>
      <c r="AQ13" s="4"/>
      <c r="AR13" s="4"/>
      <c r="AS13" s="4"/>
      <c r="AT13" s="4"/>
      <c r="AU13" s="4"/>
      <c r="AV13" s="4"/>
      <c r="AW13" s="4"/>
      <c r="AX13" s="4"/>
      <c r="AY13" s="4"/>
      <c r="AZ13" s="4"/>
      <c r="BA13" s="4"/>
      <c r="BB13" s="4"/>
      <c r="BC13" s="4"/>
      <c r="BD13" s="4"/>
      <c r="BE13" s="4"/>
      <c r="BF13" s="4"/>
      <c r="BG13" s="4"/>
      <c r="BH13" s="4"/>
      <c r="BI13" s="4"/>
      <c r="BJ13" s="4"/>
    </row>
    <row r="14" spans="1:62" x14ac:dyDescent="0.2">
      <c r="A14" s="6"/>
      <c r="B14" s="4"/>
      <c r="C14" s="4"/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  <c r="AA14" s="4"/>
      <c r="AB14" s="4"/>
      <c r="AC14" s="4"/>
      <c r="AD14" s="4"/>
      <c r="AE14" s="4"/>
      <c r="AF14" s="4"/>
      <c r="AG14" s="4"/>
      <c r="AH14" s="4"/>
      <c r="AI14" s="4"/>
      <c r="AJ14" s="4"/>
      <c r="AK14" s="4"/>
      <c r="AL14" s="4"/>
      <c r="AM14" s="4"/>
      <c r="AN14" s="4"/>
      <c r="AO14" s="4"/>
      <c r="AP14" s="4"/>
      <c r="AQ14" s="4"/>
      <c r="AR14" s="4"/>
      <c r="AS14" s="4"/>
      <c r="AT14" s="4"/>
      <c r="AU14" s="4"/>
      <c r="AV14" s="4"/>
      <c r="AW14" s="4"/>
      <c r="AX14" s="4"/>
      <c r="AY14" s="4"/>
      <c r="AZ14" s="4"/>
      <c r="BA14" s="4"/>
      <c r="BB14" s="4"/>
      <c r="BC14" s="4"/>
      <c r="BD14" s="4"/>
      <c r="BE14" s="4"/>
      <c r="BF14" s="4"/>
      <c r="BG14" s="4"/>
      <c r="BH14" s="4"/>
      <c r="BI14" s="4"/>
      <c r="BJ14" s="4"/>
    </row>
    <row r="15" spans="1:62" x14ac:dyDescent="0.2">
      <c r="A15" s="6"/>
      <c r="B15" s="4"/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  <c r="AA15" s="4"/>
      <c r="AB15" s="4"/>
      <c r="AC15" s="4"/>
      <c r="AD15" s="4"/>
      <c r="AE15" s="4"/>
      <c r="AF15" s="4"/>
      <c r="AG15" s="4"/>
      <c r="AH15" s="4"/>
      <c r="AI15" s="4"/>
      <c r="AJ15" s="4"/>
      <c r="AK15" s="4"/>
      <c r="AL15" s="4"/>
      <c r="AM15" s="4"/>
      <c r="AN15" s="4"/>
      <c r="AO15" s="4"/>
      <c r="AP15" s="4"/>
      <c r="AQ15" s="4"/>
      <c r="AR15" s="4"/>
      <c r="AS15" s="4"/>
      <c r="AT15" s="4"/>
      <c r="AU15" s="4"/>
      <c r="AV15" s="4"/>
      <c r="AW15" s="4"/>
      <c r="AX15" s="4"/>
      <c r="AY15" s="4"/>
      <c r="AZ15" s="4"/>
      <c r="BA15" s="4"/>
      <c r="BB15" s="4"/>
      <c r="BC15" s="4"/>
      <c r="BD15" s="4"/>
      <c r="BE15" s="4"/>
      <c r="BF15" s="4"/>
      <c r="BG15" s="4"/>
      <c r="BH15" s="4"/>
      <c r="BI15" s="4"/>
      <c r="BJ15" s="4"/>
    </row>
    <row r="16" spans="1:62" x14ac:dyDescent="0.2">
      <c r="A16" s="6"/>
      <c r="B16" s="4"/>
      <c r="C16" s="4"/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  <c r="AA16" s="4"/>
      <c r="AB16" s="4"/>
      <c r="AC16" s="4"/>
      <c r="AD16" s="4"/>
      <c r="AE16" s="4"/>
      <c r="AF16" s="4"/>
      <c r="AG16" s="4"/>
      <c r="AH16" s="4"/>
      <c r="AI16" s="4"/>
      <c r="AJ16" s="4"/>
      <c r="AK16" s="4"/>
      <c r="AL16" s="4"/>
      <c r="AM16" s="4"/>
      <c r="AN16" s="4"/>
      <c r="AO16" s="4"/>
      <c r="AP16" s="4"/>
      <c r="AQ16" s="4"/>
      <c r="AR16" s="4"/>
      <c r="AS16" s="4"/>
      <c r="AT16" s="4"/>
      <c r="AU16" s="4"/>
      <c r="AV16" s="4"/>
      <c r="AW16" s="4"/>
      <c r="AX16" s="4"/>
      <c r="AY16" s="4"/>
      <c r="AZ16" s="4"/>
      <c r="BA16" s="4"/>
      <c r="BB16" s="4"/>
      <c r="BC16" s="4"/>
      <c r="BD16" s="4"/>
      <c r="BE16" s="4"/>
      <c r="BF16" s="4"/>
      <c r="BG16" s="4"/>
      <c r="BH16" s="4"/>
      <c r="BI16" s="4"/>
      <c r="BJ16" s="4"/>
    </row>
    <row r="17" spans="1:62" x14ac:dyDescent="0.2">
      <c r="A17" s="6"/>
      <c r="B17" s="4"/>
      <c r="C17" s="4"/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  <c r="AA17" s="4"/>
      <c r="AB17" s="4"/>
      <c r="AC17" s="4"/>
      <c r="AD17" s="4"/>
      <c r="AE17" s="4"/>
      <c r="AF17" s="4"/>
      <c r="AG17" s="4"/>
      <c r="AH17" s="4"/>
      <c r="AI17" s="4"/>
      <c r="AJ17" s="4"/>
      <c r="AK17" s="4"/>
      <c r="AL17" s="4"/>
      <c r="AM17" s="4"/>
      <c r="AN17" s="4"/>
      <c r="AO17" s="4"/>
      <c r="AP17" s="4"/>
      <c r="AQ17" s="4"/>
      <c r="AR17" s="4"/>
      <c r="AS17" s="4"/>
      <c r="AT17" s="4"/>
      <c r="AU17" s="4"/>
      <c r="AV17" s="4"/>
      <c r="AW17" s="4"/>
      <c r="AX17" s="4"/>
      <c r="AY17" s="4"/>
      <c r="AZ17" s="4"/>
      <c r="BA17" s="4"/>
      <c r="BB17" s="4"/>
      <c r="BC17" s="4"/>
      <c r="BD17" s="4"/>
      <c r="BE17" s="4"/>
      <c r="BF17" s="4"/>
      <c r="BG17" s="4"/>
      <c r="BH17" s="4"/>
      <c r="BI17" s="4"/>
      <c r="BJ17" s="4"/>
    </row>
    <row r="18" spans="1:62" x14ac:dyDescent="0.2">
      <c r="A18" s="6"/>
      <c r="B18" s="4"/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  <c r="AA18" s="4"/>
      <c r="AB18" s="4"/>
      <c r="AC18" s="4"/>
      <c r="AD18" s="4"/>
      <c r="AE18" s="4"/>
      <c r="AF18" s="4"/>
      <c r="AG18" s="4"/>
      <c r="AH18" s="4"/>
      <c r="AI18" s="4"/>
      <c r="AJ18" s="4"/>
      <c r="AK18" s="4"/>
      <c r="AL18" s="4"/>
      <c r="AM18" s="4"/>
      <c r="AN18" s="4"/>
      <c r="AO18" s="4"/>
      <c r="AP18" s="4"/>
      <c r="AQ18" s="4"/>
      <c r="AR18" s="4"/>
      <c r="AS18" s="4"/>
      <c r="AT18" s="4"/>
      <c r="AU18" s="4"/>
      <c r="AV18" s="4"/>
      <c r="AW18" s="4"/>
      <c r="AX18" s="4"/>
      <c r="AY18" s="4"/>
      <c r="AZ18" s="4"/>
      <c r="BA18" s="4"/>
      <c r="BB18" s="4"/>
      <c r="BC18" s="4"/>
      <c r="BD18" s="4"/>
      <c r="BE18" s="4"/>
      <c r="BF18" s="4"/>
      <c r="BG18" s="4"/>
      <c r="BH18" s="4"/>
      <c r="BI18" s="4"/>
      <c r="BJ18" s="4"/>
    </row>
    <row r="19" spans="1:62" x14ac:dyDescent="0.2">
      <c r="A19" s="6"/>
      <c r="B19" s="4"/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  <c r="AA19" s="4"/>
      <c r="AB19" s="4"/>
      <c r="AC19" s="4"/>
      <c r="AD19" s="4"/>
      <c r="AE19" s="4"/>
      <c r="AF19" s="4"/>
      <c r="AG19" s="4"/>
      <c r="AH19" s="4"/>
      <c r="AI19" s="4"/>
      <c r="AJ19" s="4"/>
      <c r="AK19" s="4"/>
      <c r="AL19" s="4"/>
      <c r="AM19" s="4"/>
      <c r="AN19" s="4"/>
      <c r="AO19" s="4"/>
      <c r="AP19" s="4"/>
      <c r="AQ19" s="4"/>
      <c r="AR19" s="4"/>
      <c r="AS19" s="4"/>
      <c r="AT19" s="4"/>
      <c r="AU19" s="4"/>
      <c r="AV19" s="4"/>
      <c r="AW19" s="4"/>
      <c r="AX19" s="4"/>
      <c r="AY19" s="4"/>
      <c r="AZ19" s="4"/>
      <c r="BA19" s="4"/>
      <c r="BB19" s="4"/>
      <c r="BC19" s="4"/>
      <c r="BD19" s="4"/>
      <c r="BE19" s="4"/>
      <c r="BF19" s="4"/>
      <c r="BG19" s="4"/>
      <c r="BH19" s="4"/>
      <c r="BI19" s="4"/>
      <c r="BJ19" s="4"/>
    </row>
    <row r="20" spans="1:62" x14ac:dyDescent="0.2">
      <c r="A20" s="6"/>
      <c r="B20" s="4"/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  <c r="AA20" s="4"/>
      <c r="AB20" s="4"/>
      <c r="AC20" s="4"/>
      <c r="AD20" s="4"/>
      <c r="AE20" s="4"/>
      <c r="AF20" s="4"/>
      <c r="AG20" s="4"/>
      <c r="AH20" s="4"/>
      <c r="AI20" s="4"/>
      <c r="AJ20" s="4"/>
      <c r="AK20" s="4"/>
      <c r="AL20" s="4"/>
      <c r="AM20" s="4"/>
      <c r="AN20" s="4"/>
      <c r="AO20" s="4"/>
      <c r="AP20" s="4"/>
      <c r="AQ20" s="4"/>
      <c r="AR20" s="4"/>
      <c r="AS20" s="4"/>
      <c r="AT20" s="4"/>
      <c r="AU20" s="4"/>
      <c r="AV20" s="4"/>
      <c r="AW20" s="4"/>
      <c r="AX20" s="4"/>
      <c r="AY20" s="4"/>
      <c r="AZ20" s="4"/>
      <c r="BA20" s="4"/>
      <c r="BB20" s="4"/>
      <c r="BC20" s="4"/>
      <c r="BD20" s="4"/>
      <c r="BE20" s="4"/>
      <c r="BF20" s="4"/>
      <c r="BG20" s="4"/>
      <c r="BH20" s="4"/>
      <c r="BI20" s="4"/>
      <c r="BJ20" s="4"/>
    </row>
    <row r="21" spans="1:62" x14ac:dyDescent="0.2">
      <c r="A21" s="6"/>
      <c r="B21" s="4"/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  <c r="AA21" s="4"/>
      <c r="AB21" s="4"/>
      <c r="AC21" s="4"/>
      <c r="AD21" s="4"/>
      <c r="AE21" s="4"/>
      <c r="AF21" s="4"/>
      <c r="AG21" s="4"/>
      <c r="AH21" s="4"/>
      <c r="AI21" s="4"/>
      <c r="AJ21" s="4"/>
      <c r="AK21" s="4"/>
      <c r="AL21" s="4"/>
      <c r="AM21" s="4"/>
      <c r="AN21" s="4"/>
      <c r="AO21" s="4"/>
      <c r="AP21" s="4"/>
      <c r="AQ21" s="4"/>
      <c r="AR21" s="4"/>
      <c r="AS21" s="4"/>
      <c r="AT21" s="4"/>
      <c r="AU21" s="4"/>
      <c r="AV21" s="4"/>
      <c r="AW21" s="4"/>
      <c r="AX21" s="4"/>
      <c r="AY21" s="4"/>
      <c r="AZ21" s="4"/>
      <c r="BA21" s="4"/>
      <c r="BB21" s="4"/>
      <c r="BC21" s="4"/>
      <c r="BD21" s="4"/>
      <c r="BE21" s="4"/>
      <c r="BF21" s="4"/>
      <c r="BG21" s="4"/>
      <c r="BH21" s="4"/>
      <c r="BI21" s="4"/>
      <c r="BJ21" s="4"/>
    </row>
    <row r="22" spans="1:62" x14ac:dyDescent="0.2">
      <c r="A22" s="6"/>
      <c r="B22" s="4"/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  <c r="AA22" s="4"/>
      <c r="AB22" s="4"/>
      <c r="AC22" s="4"/>
      <c r="AD22" s="4"/>
      <c r="AE22" s="4"/>
      <c r="AF22" s="4"/>
      <c r="AG22" s="4"/>
      <c r="AH22" s="4"/>
      <c r="AI22" s="4"/>
      <c r="AJ22" s="4"/>
      <c r="AK22" s="4"/>
      <c r="AL22" s="4"/>
      <c r="AM22" s="4"/>
      <c r="AN22" s="4"/>
      <c r="AO22" s="4"/>
      <c r="AP22" s="4"/>
      <c r="AQ22" s="4"/>
      <c r="AR22" s="4"/>
      <c r="AS22" s="4"/>
      <c r="AT22" s="4"/>
      <c r="AU22" s="4"/>
      <c r="AV22" s="4"/>
      <c r="AW22" s="4"/>
      <c r="AX22" s="4"/>
      <c r="AY22" s="4"/>
      <c r="AZ22" s="4"/>
      <c r="BA22" s="4"/>
      <c r="BB22" s="4"/>
      <c r="BC22" s="4"/>
      <c r="BD22" s="4"/>
      <c r="BE22" s="4"/>
      <c r="BF22" s="4"/>
      <c r="BG22" s="4"/>
      <c r="BH22" s="4"/>
      <c r="BI22" s="4"/>
      <c r="BJ22" s="4"/>
    </row>
    <row r="23" spans="1:62" x14ac:dyDescent="0.2">
      <c r="A23" s="6"/>
      <c r="B23" s="4"/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  <c r="AA23" s="4"/>
      <c r="AB23" s="4"/>
      <c r="AC23" s="4"/>
      <c r="AD23" s="4"/>
      <c r="AE23" s="4"/>
      <c r="AF23" s="4"/>
      <c r="AG23" s="4"/>
      <c r="AH23" s="4"/>
      <c r="AI23" s="4"/>
      <c r="AJ23" s="4"/>
      <c r="AK23" s="4"/>
      <c r="AL23" s="4"/>
      <c r="AM23" s="4"/>
      <c r="AN23" s="4"/>
      <c r="AO23" s="4"/>
      <c r="AP23" s="4"/>
      <c r="AQ23" s="4"/>
      <c r="AR23" s="4"/>
      <c r="AS23" s="4"/>
      <c r="AT23" s="4"/>
      <c r="AU23" s="4"/>
      <c r="AV23" s="4"/>
      <c r="AW23" s="4"/>
      <c r="AX23" s="4"/>
      <c r="AY23" s="4"/>
      <c r="AZ23" s="4"/>
      <c r="BA23" s="4"/>
      <c r="BB23" s="4"/>
      <c r="BC23" s="4"/>
      <c r="BD23" s="4"/>
      <c r="BE23" s="4"/>
      <c r="BF23" s="4"/>
      <c r="BG23" s="4"/>
      <c r="BH23" s="4"/>
      <c r="BI23" s="4"/>
      <c r="BJ23" s="4"/>
    </row>
    <row r="24" spans="1:62" x14ac:dyDescent="0.2">
      <c r="A24" s="56"/>
      <c r="B24" s="4"/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  <c r="AA24" s="4"/>
      <c r="AB24" s="4"/>
      <c r="AC24" s="4"/>
      <c r="AD24" s="4"/>
      <c r="AE24" s="4"/>
      <c r="AF24" s="4"/>
      <c r="AG24" s="4"/>
      <c r="AH24" s="4"/>
      <c r="AI24" s="4"/>
      <c r="AJ24" s="4"/>
      <c r="AK24" s="4"/>
      <c r="AL24" s="4"/>
      <c r="AM24" s="4"/>
      <c r="AN24" s="4"/>
      <c r="AO24" s="4"/>
      <c r="AP24" s="4"/>
      <c r="AQ24" s="4"/>
      <c r="AR24" s="4"/>
      <c r="AS24" s="4"/>
      <c r="AT24" s="4"/>
      <c r="AU24" s="4"/>
      <c r="AV24" s="4"/>
      <c r="AW24" s="4"/>
      <c r="AX24" s="4"/>
      <c r="AY24" s="4"/>
      <c r="AZ24" s="4"/>
      <c r="BA24" s="4"/>
      <c r="BB24" s="4"/>
      <c r="BC24" s="4"/>
      <c r="BD24" s="4"/>
      <c r="BE24" s="4"/>
      <c r="BF24" s="4"/>
      <c r="BG24" s="4"/>
      <c r="BH24" s="4"/>
      <c r="BI24" s="4"/>
      <c r="BJ24" s="4"/>
    </row>
    <row r="25" spans="1:62" x14ac:dyDescent="0.2">
      <c r="A25" s="56"/>
      <c r="B25" s="4"/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  <c r="AA25" s="4"/>
      <c r="AB25" s="4"/>
      <c r="AC25" s="4"/>
      <c r="AD25" s="4"/>
      <c r="AE25" s="4"/>
      <c r="AF25" s="4"/>
      <c r="AG25" s="4"/>
      <c r="AH25" s="4"/>
      <c r="AI25" s="4"/>
      <c r="AJ25" s="4"/>
      <c r="AK25" s="4"/>
      <c r="AL25" s="4"/>
      <c r="AM25" s="4"/>
      <c r="AN25" s="4"/>
      <c r="AO25" s="4"/>
      <c r="AP25" s="4"/>
      <c r="AQ25" s="4"/>
      <c r="AR25" s="4"/>
      <c r="AS25" s="4"/>
      <c r="AT25" s="4"/>
      <c r="AU25" s="4"/>
      <c r="AV25" s="4"/>
      <c r="AW25" s="4"/>
      <c r="AX25" s="4"/>
      <c r="AY25" s="4"/>
      <c r="AZ25" s="4"/>
      <c r="BA25" s="4"/>
      <c r="BB25" s="4"/>
      <c r="BC25" s="4"/>
      <c r="BD25" s="4"/>
      <c r="BE25" s="4"/>
      <c r="BF25" s="4"/>
      <c r="BG25" s="4"/>
      <c r="BH25" s="4"/>
      <c r="BI25" s="4"/>
      <c r="BJ25" s="4"/>
    </row>
    <row r="26" spans="1:62" x14ac:dyDescent="0.2">
      <c r="A26" s="56"/>
      <c r="B26" s="4"/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  <c r="AA26" s="4"/>
      <c r="AB26" s="4"/>
      <c r="AC26" s="4"/>
      <c r="AD26" s="4"/>
      <c r="AE26" s="4"/>
      <c r="AF26" s="4"/>
      <c r="AG26" s="4"/>
      <c r="AH26" s="4"/>
      <c r="AI26" s="4"/>
      <c r="AJ26" s="4"/>
      <c r="AK26" s="4"/>
      <c r="AL26" s="4"/>
      <c r="AM26" s="4"/>
      <c r="AN26" s="4"/>
      <c r="AO26" s="4"/>
      <c r="AP26" s="4"/>
      <c r="AQ26" s="4"/>
      <c r="AR26" s="4"/>
      <c r="AS26" s="4"/>
      <c r="AT26" s="4"/>
      <c r="AU26" s="4"/>
      <c r="AV26" s="4"/>
      <c r="AW26" s="4"/>
      <c r="AX26" s="4"/>
      <c r="AY26" s="4"/>
      <c r="AZ26" s="4"/>
      <c r="BA26" s="4"/>
      <c r="BB26" s="4"/>
      <c r="BC26" s="4"/>
      <c r="BD26" s="4"/>
      <c r="BE26" s="4"/>
      <c r="BF26" s="4"/>
      <c r="BG26" s="4"/>
      <c r="BH26" s="4"/>
      <c r="BI26" s="4"/>
      <c r="BJ26" s="4"/>
    </row>
    <row r="27" spans="1:62" x14ac:dyDescent="0.2">
      <c r="A27" s="56"/>
      <c r="B27" s="4"/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  <c r="AA27" s="4"/>
      <c r="AB27" s="4"/>
      <c r="AC27" s="4"/>
      <c r="AD27" s="4"/>
      <c r="AE27" s="4"/>
      <c r="AF27" s="4"/>
      <c r="AG27" s="4"/>
      <c r="AH27" s="4"/>
      <c r="AI27" s="4"/>
      <c r="AJ27" s="4"/>
      <c r="AK27" s="4"/>
      <c r="AL27" s="4"/>
      <c r="AM27" s="4"/>
      <c r="AN27" s="4"/>
      <c r="AO27" s="4"/>
      <c r="AP27" s="4"/>
      <c r="AQ27" s="4"/>
      <c r="AR27" s="4"/>
      <c r="AS27" s="4"/>
      <c r="AT27" s="4"/>
      <c r="AU27" s="4"/>
      <c r="AV27" s="4"/>
      <c r="AW27" s="4"/>
      <c r="AX27" s="4"/>
      <c r="AY27" s="4"/>
      <c r="AZ27" s="4"/>
      <c r="BA27" s="4"/>
      <c r="BB27" s="4"/>
      <c r="BC27" s="4"/>
      <c r="BD27" s="4"/>
      <c r="BE27" s="4"/>
      <c r="BF27" s="4"/>
      <c r="BG27" s="4"/>
      <c r="BH27" s="4"/>
      <c r="BI27" s="4"/>
      <c r="BJ27" s="4"/>
    </row>
    <row r="28" spans="1:62" x14ac:dyDescent="0.2">
      <c r="A28" s="56"/>
      <c r="B28" s="4"/>
      <c r="C28" s="4"/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  <c r="AA28" s="4"/>
      <c r="AB28" s="4"/>
      <c r="AC28" s="4"/>
      <c r="AD28" s="4"/>
      <c r="AE28" s="4"/>
      <c r="AF28" s="4"/>
      <c r="AG28" s="4"/>
      <c r="AH28" s="4"/>
      <c r="AI28" s="4"/>
      <c r="AJ28" s="4"/>
      <c r="AK28" s="4"/>
      <c r="AL28" s="4"/>
      <c r="AM28" s="4"/>
      <c r="AN28" s="4"/>
      <c r="AO28" s="4"/>
      <c r="AP28" s="4"/>
      <c r="AQ28" s="4"/>
      <c r="AR28" s="4"/>
      <c r="AS28" s="4"/>
      <c r="AT28" s="4"/>
      <c r="AU28" s="4"/>
      <c r="AV28" s="4"/>
      <c r="AW28" s="4"/>
      <c r="AX28" s="4"/>
      <c r="AY28" s="4"/>
      <c r="AZ28" s="4"/>
      <c r="BA28" s="4"/>
      <c r="BB28" s="4"/>
      <c r="BC28" s="4"/>
      <c r="BD28" s="4"/>
      <c r="BE28" s="4"/>
      <c r="BF28" s="4"/>
      <c r="BG28" s="4"/>
      <c r="BH28" s="4"/>
      <c r="BI28" s="4"/>
      <c r="BJ28" s="4"/>
    </row>
    <row r="29" spans="1:62" x14ac:dyDescent="0.2">
      <c r="A29" s="56"/>
      <c r="B29" s="4"/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  <c r="AA29" s="4"/>
      <c r="AB29" s="4"/>
      <c r="AC29" s="4"/>
      <c r="AD29" s="4"/>
      <c r="AE29" s="4"/>
      <c r="AF29" s="4"/>
      <c r="AG29" s="4"/>
      <c r="AH29" s="4"/>
      <c r="AI29" s="4"/>
      <c r="AJ29" s="4"/>
      <c r="AK29" s="4"/>
      <c r="AL29" s="4"/>
      <c r="AM29" s="4"/>
      <c r="AN29" s="4"/>
      <c r="AO29" s="4"/>
      <c r="AP29" s="4"/>
      <c r="AQ29" s="4"/>
      <c r="AR29" s="4"/>
      <c r="AS29" s="4"/>
      <c r="AT29" s="4"/>
      <c r="AU29" s="4"/>
      <c r="AV29" s="4"/>
      <c r="AW29" s="4"/>
      <c r="AX29" s="4"/>
      <c r="AY29" s="4"/>
      <c r="AZ29" s="4"/>
      <c r="BA29" s="4"/>
      <c r="BB29" s="4"/>
      <c r="BC29" s="4"/>
      <c r="BD29" s="4"/>
      <c r="BE29" s="4"/>
      <c r="BF29" s="4"/>
      <c r="BG29" s="4"/>
      <c r="BH29" s="4"/>
      <c r="BI29" s="4"/>
      <c r="BJ29" s="4"/>
    </row>
    <row r="30" spans="1:62" x14ac:dyDescent="0.2">
      <c r="A30" s="56"/>
      <c r="B30" s="4"/>
      <c r="C30" s="4"/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  <c r="AA30" s="4"/>
      <c r="AB30" s="4"/>
      <c r="AC30" s="4"/>
      <c r="AD30" s="4"/>
      <c r="AE30" s="4"/>
      <c r="AF30" s="4"/>
      <c r="AG30" s="4"/>
      <c r="AH30" s="4"/>
      <c r="AI30" s="4"/>
      <c r="AJ30" s="4"/>
      <c r="AK30" s="4"/>
      <c r="AL30" s="4"/>
      <c r="AM30" s="4"/>
      <c r="AN30" s="4"/>
      <c r="AO30" s="4"/>
      <c r="AP30" s="4"/>
      <c r="AQ30" s="4"/>
      <c r="AR30" s="4"/>
      <c r="AS30" s="4"/>
      <c r="AT30" s="4"/>
      <c r="AU30" s="4"/>
      <c r="AV30" s="4"/>
      <c r="AW30" s="4"/>
      <c r="AX30" s="4"/>
      <c r="AY30" s="4"/>
      <c r="AZ30" s="4"/>
      <c r="BA30" s="4"/>
      <c r="BB30" s="4"/>
      <c r="BC30" s="4"/>
      <c r="BD30" s="4"/>
      <c r="BE30" s="4"/>
      <c r="BF30" s="4"/>
      <c r="BG30" s="4"/>
      <c r="BH30" s="4"/>
      <c r="BI30" s="4"/>
      <c r="BJ30" s="4"/>
    </row>
    <row r="31" spans="1:62" x14ac:dyDescent="0.2">
      <c r="A31" s="56"/>
      <c r="B31" s="4"/>
      <c r="C31" s="4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  <c r="AA31" s="4"/>
      <c r="AB31" s="4"/>
      <c r="AC31" s="4"/>
      <c r="AD31" s="4"/>
      <c r="AE31" s="4"/>
      <c r="AF31" s="4"/>
      <c r="AG31" s="4"/>
      <c r="AH31" s="4"/>
      <c r="AI31" s="4"/>
      <c r="AJ31" s="4"/>
      <c r="AK31" s="4"/>
      <c r="AL31" s="4"/>
      <c r="AM31" s="4"/>
      <c r="AN31" s="4"/>
      <c r="AO31" s="4"/>
      <c r="AP31" s="4"/>
      <c r="AQ31" s="4"/>
      <c r="AR31" s="4"/>
      <c r="AS31" s="4"/>
      <c r="AT31" s="4"/>
      <c r="AU31" s="4"/>
      <c r="AV31" s="4"/>
      <c r="AW31" s="4"/>
      <c r="AX31" s="4"/>
      <c r="AY31" s="4"/>
      <c r="AZ31" s="4"/>
      <c r="BA31" s="4"/>
      <c r="BB31" s="4"/>
      <c r="BC31" s="4"/>
      <c r="BD31" s="4"/>
      <c r="BE31" s="4"/>
      <c r="BF31" s="4"/>
      <c r="BG31" s="4"/>
      <c r="BH31" s="4"/>
      <c r="BI31" s="4"/>
      <c r="BJ31" s="4"/>
    </row>
    <row r="32" spans="1:62" x14ac:dyDescent="0.2">
      <c r="A32" s="56"/>
      <c r="B32" s="4"/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  <c r="AA32" s="4"/>
      <c r="AB32" s="4"/>
      <c r="AC32" s="4"/>
      <c r="AD32" s="4"/>
      <c r="AE32" s="4"/>
      <c r="AF32" s="4"/>
      <c r="AG32" s="4"/>
      <c r="AH32" s="4"/>
      <c r="AI32" s="4"/>
      <c r="AJ32" s="4"/>
      <c r="AK32" s="4"/>
      <c r="AL32" s="4"/>
      <c r="AM32" s="4"/>
      <c r="AN32" s="4"/>
      <c r="AO32" s="4"/>
      <c r="AP32" s="4"/>
      <c r="AQ32" s="4"/>
      <c r="AR32" s="4"/>
      <c r="AS32" s="4"/>
      <c r="AT32" s="4"/>
      <c r="AU32" s="4"/>
      <c r="AV32" s="4"/>
      <c r="AW32" s="4"/>
      <c r="AX32" s="4"/>
      <c r="AY32" s="4"/>
      <c r="AZ32" s="4"/>
      <c r="BA32" s="4"/>
      <c r="BB32" s="4"/>
      <c r="BC32" s="4"/>
      <c r="BD32" s="4"/>
      <c r="BE32" s="4"/>
      <c r="BF32" s="4"/>
      <c r="BG32" s="4"/>
      <c r="BH32" s="4"/>
      <c r="BI32" s="4"/>
      <c r="BJ32" s="4"/>
    </row>
    <row r="33" spans="1:62" x14ac:dyDescent="0.2">
      <c r="A33" s="56"/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  <c r="AA33" s="4"/>
      <c r="AB33" s="4"/>
      <c r="AC33" s="4"/>
      <c r="AD33" s="4"/>
      <c r="AE33" s="4"/>
      <c r="AF33" s="4"/>
      <c r="AG33" s="4"/>
      <c r="AH33" s="4"/>
      <c r="AI33" s="4"/>
      <c r="AJ33" s="4"/>
      <c r="AK33" s="4"/>
      <c r="AL33" s="4"/>
      <c r="AM33" s="4"/>
      <c r="AN33" s="4"/>
      <c r="AO33" s="4"/>
      <c r="AP33" s="4"/>
      <c r="AQ33" s="4"/>
      <c r="AR33" s="4"/>
      <c r="AS33" s="4"/>
      <c r="AT33" s="4"/>
      <c r="AU33" s="4"/>
      <c r="AV33" s="4"/>
      <c r="AW33" s="4"/>
      <c r="AX33" s="4"/>
      <c r="AY33" s="4"/>
      <c r="AZ33" s="4"/>
      <c r="BA33" s="4"/>
      <c r="BB33" s="4"/>
      <c r="BC33" s="4"/>
      <c r="BD33" s="4"/>
      <c r="BE33" s="4"/>
      <c r="BF33" s="4"/>
      <c r="BG33" s="4"/>
      <c r="BH33" s="4"/>
      <c r="BI33" s="4"/>
      <c r="BJ33" s="4"/>
    </row>
    <row r="34" spans="1:62" x14ac:dyDescent="0.2">
      <c r="A34" s="56"/>
      <c r="B34" s="4"/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  <c r="AA34" s="4"/>
      <c r="AB34" s="4"/>
      <c r="AC34" s="4"/>
      <c r="AD34" s="4"/>
      <c r="AE34" s="4"/>
      <c r="AF34" s="4"/>
      <c r="AG34" s="4"/>
      <c r="AH34" s="4"/>
      <c r="AI34" s="4"/>
      <c r="AJ34" s="4"/>
      <c r="AK34" s="4"/>
      <c r="AL34" s="4"/>
      <c r="AM34" s="4"/>
      <c r="AN34" s="4"/>
      <c r="AO34" s="4"/>
      <c r="AP34" s="4"/>
      <c r="AQ34" s="4"/>
      <c r="AR34" s="4"/>
      <c r="AS34" s="4"/>
      <c r="AT34" s="4"/>
      <c r="AU34" s="4"/>
      <c r="AV34" s="4"/>
      <c r="AW34" s="4"/>
      <c r="AX34" s="4"/>
      <c r="AY34" s="4"/>
      <c r="AZ34" s="4"/>
      <c r="BA34" s="4"/>
      <c r="BB34" s="4"/>
      <c r="BC34" s="4"/>
      <c r="BD34" s="4"/>
      <c r="BE34" s="4"/>
      <c r="BF34" s="4"/>
      <c r="BG34" s="4"/>
      <c r="BH34" s="4"/>
      <c r="BI34" s="4"/>
      <c r="BJ34" s="4"/>
    </row>
    <row r="35" spans="1:62" x14ac:dyDescent="0.2">
      <c r="A35" s="56"/>
      <c r="B35" s="4"/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  <c r="AA35" s="4"/>
      <c r="AB35" s="4"/>
      <c r="AC35" s="4"/>
      <c r="AD35" s="4"/>
      <c r="AE35" s="4"/>
      <c r="AF35" s="4"/>
      <c r="AG35" s="4"/>
      <c r="AH35" s="4"/>
      <c r="AI35" s="4"/>
      <c r="AJ35" s="4"/>
      <c r="AK35" s="4"/>
      <c r="AL35" s="4"/>
      <c r="AM35" s="4"/>
      <c r="AN35" s="4"/>
      <c r="AO35" s="4"/>
      <c r="AP35" s="4"/>
      <c r="AQ35" s="4"/>
      <c r="AR35" s="4"/>
      <c r="AS35" s="4"/>
      <c r="AT35" s="4"/>
      <c r="AU35" s="4"/>
      <c r="AV35" s="4"/>
      <c r="AW35" s="4"/>
      <c r="AX35" s="4"/>
      <c r="AY35" s="4"/>
      <c r="AZ35" s="4"/>
      <c r="BA35" s="4"/>
      <c r="BB35" s="4"/>
      <c r="BC35" s="4"/>
      <c r="BD35" s="4"/>
      <c r="BE35" s="4"/>
      <c r="BF35" s="4"/>
      <c r="BG35" s="4"/>
      <c r="BH35" s="4"/>
      <c r="BI35" s="4"/>
      <c r="BJ35" s="4"/>
    </row>
    <row r="36" spans="1:62" x14ac:dyDescent="0.2">
      <c r="A36" s="56"/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  <c r="AA36" s="4"/>
      <c r="AB36" s="4"/>
      <c r="AC36" s="4"/>
      <c r="AD36" s="4"/>
      <c r="AE36" s="4"/>
      <c r="AF36" s="4"/>
      <c r="AG36" s="4"/>
      <c r="AH36" s="4"/>
      <c r="AI36" s="4"/>
      <c r="AJ36" s="4"/>
      <c r="AK36" s="4"/>
      <c r="AL36" s="4"/>
      <c r="AM36" s="4"/>
      <c r="AN36" s="4"/>
      <c r="AO36" s="4"/>
      <c r="AP36" s="4"/>
      <c r="AQ36" s="4"/>
      <c r="AR36" s="4"/>
      <c r="AS36" s="4"/>
      <c r="AT36" s="4"/>
      <c r="AU36" s="4"/>
      <c r="AV36" s="4"/>
      <c r="AW36" s="4"/>
      <c r="AX36" s="4"/>
      <c r="AY36" s="4"/>
      <c r="AZ36" s="4"/>
      <c r="BA36" s="4"/>
      <c r="BB36" s="4"/>
      <c r="BC36" s="4"/>
      <c r="BD36" s="4"/>
      <c r="BE36" s="4"/>
      <c r="BF36" s="4"/>
      <c r="BG36" s="4"/>
      <c r="BH36" s="4"/>
      <c r="BI36" s="4"/>
      <c r="BJ36" s="4"/>
    </row>
    <row r="37" spans="1:62" x14ac:dyDescent="0.2">
      <c r="A37" s="56"/>
      <c r="B37" s="4"/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  <c r="AA37" s="4"/>
      <c r="AB37" s="4"/>
      <c r="AC37" s="4"/>
      <c r="AD37" s="4"/>
      <c r="AE37" s="4"/>
      <c r="AF37" s="4"/>
      <c r="AG37" s="4"/>
      <c r="AH37" s="4"/>
      <c r="AI37" s="4"/>
      <c r="AJ37" s="4"/>
      <c r="AK37" s="4"/>
      <c r="AL37" s="4"/>
      <c r="AM37" s="4"/>
      <c r="AN37" s="4"/>
      <c r="AO37" s="4"/>
      <c r="AP37" s="4"/>
      <c r="AQ37" s="4"/>
      <c r="AR37" s="4"/>
      <c r="AS37" s="4"/>
      <c r="AT37" s="4"/>
      <c r="AU37" s="4"/>
      <c r="AV37" s="4"/>
      <c r="AW37" s="4"/>
      <c r="AX37" s="4"/>
      <c r="AY37" s="4"/>
      <c r="AZ37" s="4"/>
      <c r="BA37" s="4"/>
      <c r="BB37" s="4"/>
      <c r="BC37" s="4"/>
      <c r="BD37" s="4"/>
      <c r="BE37" s="4"/>
      <c r="BF37" s="4"/>
      <c r="BG37" s="4"/>
      <c r="BH37" s="4"/>
      <c r="BI37" s="4"/>
      <c r="BJ37" s="4"/>
    </row>
    <row r="38" spans="1:62" x14ac:dyDescent="0.2">
      <c r="A38" s="56"/>
      <c r="B38" s="4"/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  <c r="AA38" s="4"/>
      <c r="AB38" s="4"/>
      <c r="AC38" s="4"/>
      <c r="AD38" s="4"/>
      <c r="AE38" s="4"/>
      <c r="AF38" s="4"/>
      <c r="AG38" s="4"/>
      <c r="AH38" s="4"/>
      <c r="AI38" s="4"/>
      <c r="AJ38" s="4"/>
      <c r="AK38" s="4"/>
      <c r="AL38" s="4"/>
      <c r="AM38" s="4"/>
      <c r="AN38" s="4"/>
      <c r="AO38" s="4"/>
      <c r="AP38" s="4"/>
      <c r="AQ38" s="4"/>
      <c r="AR38" s="4"/>
      <c r="AS38" s="4"/>
      <c r="AT38" s="4"/>
      <c r="AU38" s="4"/>
      <c r="AV38" s="4"/>
      <c r="AW38" s="4"/>
      <c r="AX38" s="4"/>
      <c r="AY38" s="4"/>
      <c r="AZ38" s="4"/>
      <c r="BA38" s="4"/>
      <c r="BB38" s="4"/>
      <c r="BC38" s="4"/>
      <c r="BD38" s="4"/>
      <c r="BE38" s="4"/>
      <c r="BF38" s="4"/>
      <c r="BG38" s="4"/>
      <c r="BH38" s="4"/>
      <c r="BI38" s="4"/>
      <c r="BJ38" s="4"/>
    </row>
    <row r="39" spans="1:62" x14ac:dyDescent="0.2">
      <c r="A39" s="56"/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  <c r="AA39" s="4"/>
      <c r="AB39" s="4"/>
      <c r="AC39" s="4"/>
      <c r="AD39" s="4"/>
      <c r="AE39" s="4"/>
      <c r="AF39" s="4"/>
      <c r="AG39" s="4"/>
      <c r="AH39" s="4"/>
      <c r="AI39" s="4"/>
      <c r="AJ39" s="4"/>
      <c r="AK39" s="4"/>
      <c r="AL39" s="4"/>
      <c r="AM39" s="4"/>
      <c r="AN39" s="4"/>
      <c r="AO39" s="4"/>
      <c r="AP39" s="4"/>
      <c r="AQ39" s="4"/>
      <c r="AR39" s="4"/>
      <c r="AS39" s="4"/>
      <c r="AT39" s="4"/>
      <c r="AU39" s="4"/>
      <c r="AV39" s="4"/>
      <c r="AW39" s="4"/>
      <c r="AX39" s="4"/>
      <c r="AY39" s="4"/>
      <c r="AZ39" s="4"/>
      <c r="BA39" s="4"/>
      <c r="BB39" s="4"/>
      <c r="BC39" s="4"/>
      <c r="BD39" s="4"/>
      <c r="BE39" s="4"/>
      <c r="BF39" s="4"/>
      <c r="BG39" s="4"/>
      <c r="BH39" s="4"/>
      <c r="BI39" s="4"/>
      <c r="BJ39" s="4"/>
    </row>
    <row r="40" spans="1:62" x14ac:dyDescent="0.2">
      <c r="A40" s="56"/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  <c r="AA40" s="4"/>
      <c r="AB40" s="4"/>
      <c r="AC40" s="4"/>
      <c r="AD40" s="4"/>
      <c r="AE40" s="4"/>
      <c r="AF40" s="4"/>
      <c r="AG40" s="4"/>
      <c r="AH40" s="4"/>
      <c r="AI40" s="4"/>
      <c r="AJ40" s="4"/>
      <c r="AK40" s="4"/>
      <c r="AL40" s="4"/>
      <c r="AM40" s="4"/>
      <c r="AN40" s="4"/>
      <c r="AO40" s="4"/>
      <c r="AP40" s="4"/>
      <c r="AQ40" s="4"/>
      <c r="AR40" s="4"/>
      <c r="AS40" s="4"/>
      <c r="AT40" s="4"/>
      <c r="AU40" s="4"/>
      <c r="AV40" s="4"/>
      <c r="AW40" s="4"/>
      <c r="AX40" s="4"/>
      <c r="AY40" s="4"/>
      <c r="AZ40" s="4"/>
      <c r="BA40" s="4"/>
      <c r="BB40" s="4"/>
      <c r="BC40" s="4"/>
      <c r="BD40" s="4"/>
      <c r="BE40" s="4"/>
      <c r="BF40" s="4"/>
      <c r="BG40" s="4"/>
      <c r="BH40" s="4"/>
      <c r="BI40" s="4"/>
      <c r="BJ40" s="4"/>
    </row>
    <row r="41" spans="1:62" x14ac:dyDescent="0.2">
      <c r="A41" s="56"/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  <c r="AA41" s="4"/>
      <c r="AB41" s="4"/>
      <c r="AC41" s="4"/>
      <c r="AD41" s="4"/>
      <c r="AE41" s="4"/>
      <c r="AF41" s="4"/>
      <c r="AG41" s="4"/>
      <c r="AH41" s="4"/>
      <c r="AI41" s="4"/>
      <c r="AJ41" s="4"/>
      <c r="AK41" s="4"/>
      <c r="AL41" s="4"/>
      <c r="AM41" s="4"/>
      <c r="AN41" s="4"/>
      <c r="AO41" s="4"/>
      <c r="AP41" s="4"/>
      <c r="AQ41" s="4"/>
      <c r="AR41" s="4"/>
      <c r="AS41" s="4"/>
      <c r="AT41" s="4"/>
      <c r="AU41" s="4"/>
      <c r="AV41" s="4"/>
      <c r="AW41" s="4"/>
      <c r="AX41" s="4"/>
      <c r="AY41" s="4"/>
      <c r="AZ41" s="4"/>
      <c r="BA41" s="4"/>
      <c r="BB41" s="4"/>
      <c r="BC41" s="4"/>
      <c r="BD41" s="4"/>
      <c r="BE41" s="4"/>
      <c r="BF41" s="4"/>
      <c r="BG41" s="4"/>
      <c r="BH41" s="4"/>
      <c r="BI41" s="4"/>
      <c r="BJ41" s="4"/>
    </row>
    <row r="42" spans="1:62" x14ac:dyDescent="0.2">
      <c r="A42" s="56"/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  <c r="AA42" s="4"/>
      <c r="AB42" s="4"/>
      <c r="AC42" s="4"/>
      <c r="AD42" s="4"/>
      <c r="AE42" s="4"/>
      <c r="AF42" s="4"/>
      <c r="AG42" s="4"/>
      <c r="AH42" s="4"/>
      <c r="AI42" s="4"/>
      <c r="AJ42" s="4"/>
      <c r="AK42" s="4"/>
      <c r="AL42" s="4"/>
      <c r="AM42" s="4"/>
      <c r="AN42" s="4"/>
      <c r="AO42" s="4"/>
      <c r="AP42" s="4"/>
      <c r="AQ42" s="4"/>
      <c r="AR42" s="4"/>
      <c r="AS42" s="4"/>
      <c r="AT42" s="4"/>
      <c r="AU42" s="4"/>
      <c r="AV42" s="4"/>
      <c r="AW42" s="4"/>
      <c r="AX42" s="4"/>
      <c r="AY42" s="4"/>
      <c r="AZ42" s="4"/>
      <c r="BA42" s="4"/>
      <c r="BB42" s="4"/>
      <c r="BC42" s="4"/>
      <c r="BD42" s="4"/>
      <c r="BE42" s="4"/>
      <c r="BF42" s="4"/>
      <c r="BG42" s="4"/>
      <c r="BH42" s="4"/>
      <c r="BI42" s="4"/>
      <c r="BJ42" s="4"/>
    </row>
    <row r="43" spans="1:62" x14ac:dyDescent="0.2">
      <c r="A43" s="56"/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  <c r="AA43" s="4"/>
      <c r="AB43" s="4"/>
      <c r="AC43" s="4"/>
      <c r="AD43" s="4"/>
      <c r="AE43" s="4"/>
      <c r="AF43" s="4"/>
      <c r="AG43" s="4"/>
      <c r="AH43" s="4"/>
      <c r="AI43" s="4"/>
      <c r="AJ43" s="4"/>
      <c r="AK43" s="4"/>
      <c r="AL43" s="4"/>
      <c r="AM43" s="4"/>
      <c r="AN43" s="4"/>
      <c r="AO43" s="4"/>
      <c r="AP43" s="4"/>
      <c r="AQ43" s="4"/>
      <c r="AR43" s="4"/>
      <c r="AS43" s="4"/>
      <c r="AT43" s="4"/>
      <c r="AU43" s="4"/>
      <c r="AV43" s="4"/>
      <c r="AW43" s="4"/>
      <c r="AX43" s="4"/>
      <c r="AY43" s="4"/>
      <c r="AZ43" s="4"/>
      <c r="BA43" s="4"/>
      <c r="BB43" s="4"/>
      <c r="BC43" s="4"/>
      <c r="BD43" s="4"/>
      <c r="BE43" s="4"/>
      <c r="BF43" s="4"/>
      <c r="BG43" s="4"/>
      <c r="BH43" s="4"/>
      <c r="BI43" s="4"/>
      <c r="BJ43" s="4"/>
    </row>
    <row r="44" spans="1:62" x14ac:dyDescent="0.2">
      <c r="A44" s="56"/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  <c r="AA44" s="4"/>
      <c r="AB44" s="4"/>
      <c r="AC44" s="4"/>
      <c r="AD44" s="4"/>
      <c r="AE44" s="4"/>
      <c r="AF44" s="4"/>
      <c r="AG44" s="4"/>
      <c r="AH44" s="4"/>
      <c r="AI44" s="4"/>
      <c r="AJ44" s="4"/>
      <c r="AK44" s="4"/>
      <c r="AL44" s="4"/>
      <c r="AM44" s="4"/>
      <c r="AN44" s="4"/>
      <c r="AO44" s="4"/>
      <c r="AP44" s="4"/>
      <c r="AQ44" s="4"/>
      <c r="AR44" s="4"/>
      <c r="AS44" s="4"/>
      <c r="AT44" s="4"/>
      <c r="AU44" s="4"/>
      <c r="AV44" s="4"/>
      <c r="AW44" s="4"/>
      <c r="AX44" s="4"/>
      <c r="AY44" s="4"/>
      <c r="AZ44" s="4"/>
      <c r="BA44" s="4"/>
      <c r="BB44" s="4"/>
      <c r="BC44" s="4"/>
      <c r="BD44" s="4"/>
      <c r="BE44" s="4"/>
      <c r="BF44" s="4"/>
      <c r="BG44" s="4"/>
      <c r="BH44" s="4"/>
      <c r="BI44" s="4"/>
      <c r="BJ44" s="4"/>
    </row>
    <row r="45" spans="1:62" x14ac:dyDescent="0.2">
      <c r="A45" s="56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  <c r="AA45" s="4"/>
      <c r="AB45" s="4"/>
      <c r="AC45" s="4"/>
      <c r="AD45" s="4"/>
      <c r="AE45" s="4"/>
      <c r="AF45" s="4"/>
      <c r="AG45" s="4"/>
      <c r="AH45" s="4"/>
      <c r="AI45" s="4"/>
      <c r="AJ45" s="4"/>
      <c r="AK45" s="4"/>
      <c r="AL45" s="4"/>
      <c r="AM45" s="4"/>
      <c r="AN45" s="4"/>
      <c r="AO45" s="4"/>
      <c r="AP45" s="4"/>
      <c r="AQ45" s="4"/>
      <c r="AR45" s="4"/>
      <c r="AS45" s="4"/>
      <c r="AT45" s="4"/>
      <c r="AU45" s="4"/>
      <c r="AV45" s="4"/>
      <c r="AW45" s="4"/>
      <c r="AX45" s="4"/>
      <c r="AY45" s="4"/>
      <c r="AZ45" s="4"/>
      <c r="BA45" s="4"/>
      <c r="BB45" s="4"/>
      <c r="BC45" s="4"/>
      <c r="BD45" s="4"/>
      <c r="BE45" s="4"/>
      <c r="BF45" s="4"/>
      <c r="BG45" s="4"/>
      <c r="BH45" s="4"/>
      <c r="BI45" s="4"/>
      <c r="BJ45" s="4"/>
    </row>
    <row r="46" spans="1:62" x14ac:dyDescent="0.2">
      <c r="A46" s="56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  <c r="AA46" s="4"/>
      <c r="AB46" s="4"/>
      <c r="AC46" s="4"/>
      <c r="AD46" s="4"/>
      <c r="AE46" s="4"/>
      <c r="AF46" s="4"/>
      <c r="AG46" s="4"/>
      <c r="AH46" s="4"/>
      <c r="AI46" s="4"/>
      <c r="AJ46" s="4"/>
      <c r="AK46" s="4"/>
      <c r="AL46" s="4"/>
      <c r="AM46" s="4"/>
      <c r="AN46" s="4"/>
      <c r="AO46" s="4"/>
      <c r="AP46" s="4"/>
      <c r="AQ46" s="4"/>
      <c r="AR46" s="4"/>
      <c r="AS46" s="4"/>
      <c r="AT46" s="4"/>
      <c r="AU46" s="4"/>
      <c r="AV46" s="4"/>
      <c r="AW46" s="4"/>
      <c r="AX46" s="4"/>
      <c r="AY46" s="4"/>
      <c r="AZ46" s="4"/>
      <c r="BA46" s="4"/>
      <c r="BB46" s="4"/>
      <c r="BC46" s="4"/>
      <c r="BD46" s="4"/>
      <c r="BE46" s="4"/>
      <c r="BF46" s="4"/>
      <c r="BG46" s="4"/>
      <c r="BH46" s="4"/>
      <c r="BI46" s="4"/>
      <c r="BJ46" s="4"/>
    </row>
    <row r="47" spans="1:62" x14ac:dyDescent="0.2">
      <c r="A47" s="56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  <c r="AA47" s="4"/>
      <c r="AB47" s="4"/>
      <c r="AC47" s="4"/>
      <c r="AD47" s="4"/>
      <c r="AE47" s="4"/>
      <c r="AF47" s="4"/>
      <c r="AG47" s="4"/>
      <c r="AH47" s="4"/>
      <c r="AI47" s="4"/>
      <c r="AJ47" s="4"/>
      <c r="AK47" s="4"/>
      <c r="AL47" s="4"/>
      <c r="AM47" s="4"/>
      <c r="AN47" s="4"/>
      <c r="AO47" s="4"/>
      <c r="AP47" s="4"/>
      <c r="AQ47" s="4"/>
      <c r="AR47" s="4"/>
      <c r="AS47" s="4"/>
      <c r="AT47" s="4"/>
      <c r="AU47" s="4"/>
      <c r="AV47" s="4"/>
      <c r="AW47" s="4"/>
      <c r="AX47" s="4"/>
      <c r="AY47" s="4"/>
      <c r="AZ47" s="4"/>
      <c r="BA47" s="4"/>
      <c r="BB47" s="4"/>
      <c r="BC47" s="4"/>
      <c r="BD47" s="4"/>
      <c r="BE47" s="4"/>
      <c r="BF47" s="4"/>
      <c r="BG47" s="4"/>
      <c r="BH47" s="4"/>
      <c r="BI47" s="4"/>
      <c r="BJ47" s="4"/>
    </row>
    <row r="48" spans="1:62" x14ac:dyDescent="0.2">
      <c r="A48" s="56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  <c r="AA48" s="4"/>
      <c r="AB48" s="4"/>
      <c r="AC48" s="4"/>
      <c r="AD48" s="4"/>
      <c r="AE48" s="4"/>
      <c r="AF48" s="4"/>
      <c r="AG48" s="4"/>
      <c r="AH48" s="4"/>
      <c r="AI48" s="4"/>
      <c r="AJ48" s="4"/>
      <c r="AK48" s="4"/>
      <c r="AL48" s="4"/>
      <c r="AM48" s="4"/>
      <c r="AN48" s="4"/>
      <c r="AO48" s="4"/>
      <c r="AP48" s="4"/>
      <c r="AQ48" s="4"/>
      <c r="AR48" s="4"/>
      <c r="AS48" s="4"/>
      <c r="AT48" s="4"/>
      <c r="AU48" s="4"/>
      <c r="AV48" s="4"/>
      <c r="AW48" s="4"/>
      <c r="AX48" s="4"/>
      <c r="AY48" s="4"/>
      <c r="AZ48" s="4"/>
      <c r="BA48" s="4"/>
      <c r="BB48" s="4"/>
      <c r="BC48" s="4"/>
      <c r="BD48" s="4"/>
      <c r="BE48" s="4"/>
      <c r="BF48" s="4"/>
      <c r="BG48" s="4"/>
      <c r="BH48" s="4"/>
      <c r="BI48" s="4"/>
      <c r="BJ48" s="4"/>
    </row>
    <row r="49" spans="1:62" x14ac:dyDescent="0.2">
      <c r="A49" s="56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  <c r="AA49" s="4"/>
      <c r="AB49" s="4"/>
      <c r="AC49" s="4"/>
      <c r="AD49" s="4"/>
      <c r="AE49" s="4"/>
      <c r="AF49" s="4"/>
      <c r="AG49" s="4"/>
      <c r="AH49" s="4"/>
      <c r="AI49" s="4"/>
      <c r="AJ49" s="4"/>
      <c r="AK49" s="4"/>
      <c r="AL49" s="4"/>
      <c r="AM49" s="4"/>
      <c r="AN49" s="4"/>
      <c r="AO49" s="4"/>
      <c r="AP49" s="4"/>
      <c r="AQ49" s="4"/>
      <c r="AR49" s="4"/>
      <c r="AS49" s="4"/>
      <c r="AT49" s="4"/>
      <c r="AU49" s="4"/>
      <c r="AV49" s="4"/>
      <c r="AW49" s="4"/>
      <c r="AX49" s="4"/>
      <c r="AY49" s="4"/>
      <c r="AZ49" s="4"/>
      <c r="BA49" s="4"/>
      <c r="BB49" s="4"/>
      <c r="BC49" s="4"/>
      <c r="BD49" s="4"/>
      <c r="BE49" s="4"/>
      <c r="BF49" s="4"/>
      <c r="BG49" s="4"/>
      <c r="BH49" s="4"/>
      <c r="BI49" s="4"/>
      <c r="BJ49" s="4"/>
    </row>
    <row r="50" spans="1:62" x14ac:dyDescent="0.2">
      <c r="A50" s="56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  <c r="AA50" s="4"/>
      <c r="AB50" s="4"/>
      <c r="AC50" s="4"/>
      <c r="AD50" s="4"/>
      <c r="AE50" s="4"/>
      <c r="AF50" s="4"/>
      <c r="AG50" s="4"/>
      <c r="AH50" s="4"/>
      <c r="AI50" s="4"/>
      <c r="AJ50" s="4"/>
      <c r="AK50" s="4"/>
      <c r="AL50" s="4"/>
      <c r="AM50" s="4"/>
      <c r="AN50" s="4"/>
      <c r="AO50" s="4"/>
      <c r="AP50" s="4"/>
      <c r="AQ50" s="4"/>
      <c r="AR50" s="4"/>
      <c r="AS50" s="4"/>
      <c r="AT50" s="4"/>
      <c r="AU50" s="4"/>
      <c r="AV50" s="4"/>
      <c r="AW50" s="4"/>
      <c r="AX50" s="4"/>
      <c r="AY50" s="4"/>
      <c r="AZ50" s="4"/>
      <c r="BA50" s="4"/>
      <c r="BB50" s="4"/>
      <c r="BC50" s="4"/>
      <c r="BD50" s="4"/>
      <c r="BE50" s="4"/>
      <c r="BF50" s="4"/>
      <c r="BG50" s="4"/>
      <c r="BH50" s="4"/>
      <c r="BI50" s="4"/>
      <c r="BJ50" s="4"/>
    </row>
    <row r="51" spans="1:62" x14ac:dyDescent="0.2">
      <c r="A51" s="56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  <c r="AA51" s="4"/>
      <c r="AB51" s="4"/>
      <c r="AC51" s="4"/>
      <c r="AD51" s="4"/>
      <c r="AE51" s="4"/>
      <c r="AF51" s="4"/>
      <c r="AG51" s="4"/>
      <c r="AH51" s="4"/>
      <c r="AI51" s="4"/>
      <c r="AJ51" s="4"/>
      <c r="AK51" s="4"/>
      <c r="AL51" s="4"/>
      <c r="AM51" s="4"/>
      <c r="AN51" s="4"/>
      <c r="AO51" s="4"/>
      <c r="AP51" s="4"/>
      <c r="AQ51" s="4"/>
      <c r="AR51" s="4"/>
      <c r="AS51" s="4"/>
      <c r="AT51" s="4"/>
      <c r="AU51" s="4"/>
      <c r="AV51" s="4"/>
      <c r="AW51" s="4"/>
      <c r="AX51" s="4"/>
      <c r="AY51" s="4"/>
      <c r="AZ51" s="4"/>
      <c r="BA51" s="4"/>
      <c r="BB51" s="4"/>
      <c r="BC51" s="4"/>
      <c r="BD51" s="4"/>
      <c r="BE51" s="4"/>
      <c r="BF51" s="4"/>
      <c r="BG51" s="4"/>
      <c r="BH51" s="4"/>
      <c r="BI51" s="4"/>
      <c r="BJ51" s="4"/>
    </row>
    <row r="52" spans="1:62" x14ac:dyDescent="0.2">
      <c r="A52" s="56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  <c r="AA52" s="4"/>
      <c r="AB52" s="4"/>
      <c r="AC52" s="4"/>
      <c r="AD52" s="4"/>
      <c r="AE52" s="4"/>
      <c r="AF52" s="4"/>
      <c r="AG52" s="4"/>
      <c r="AH52" s="4"/>
      <c r="AI52" s="4"/>
      <c r="AJ52" s="4"/>
      <c r="AK52" s="4"/>
      <c r="AL52" s="4"/>
      <c r="AM52" s="4"/>
      <c r="AN52" s="4"/>
      <c r="AO52" s="4"/>
      <c r="AP52" s="4"/>
      <c r="AQ52" s="4"/>
      <c r="AR52" s="4"/>
      <c r="AS52" s="4"/>
      <c r="AT52" s="4"/>
      <c r="AU52" s="4"/>
      <c r="AV52" s="4"/>
      <c r="AW52" s="4"/>
      <c r="AX52" s="4"/>
      <c r="AY52" s="4"/>
      <c r="AZ52" s="4"/>
      <c r="BA52" s="4"/>
      <c r="BB52" s="4"/>
      <c r="BC52" s="4"/>
      <c r="BD52" s="4"/>
      <c r="BE52" s="4"/>
      <c r="BF52" s="4"/>
      <c r="BG52" s="4"/>
      <c r="BH52" s="4"/>
      <c r="BI52" s="4"/>
      <c r="BJ52" s="4"/>
    </row>
    <row r="53" spans="1:62" x14ac:dyDescent="0.2">
      <c r="A53" s="56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  <c r="AA53" s="4"/>
      <c r="AB53" s="4"/>
      <c r="AC53" s="4"/>
      <c r="AD53" s="4"/>
      <c r="AE53" s="4"/>
      <c r="AF53" s="4"/>
      <c r="AG53" s="4"/>
      <c r="AH53" s="4"/>
      <c r="AI53" s="4"/>
      <c r="AJ53" s="4"/>
      <c r="AK53" s="4"/>
      <c r="AL53" s="4"/>
      <c r="AM53" s="4"/>
      <c r="AN53" s="4"/>
      <c r="AO53" s="4"/>
      <c r="AP53" s="4"/>
      <c r="AQ53" s="4"/>
      <c r="AR53" s="4"/>
      <c r="AS53" s="4"/>
      <c r="AT53" s="4"/>
      <c r="AU53" s="4"/>
      <c r="AV53" s="4"/>
      <c r="AW53" s="4"/>
      <c r="AX53" s="4"/>
      <c r="AY53" s="4"/>
      <c r="AZ53" s="4"/>
      <c r="BA53" s="4"/>
      <c r="BB53" s="4"/>
      <c r="BC53" s="4"/>
      <c r="BD53" s="4"/>
      <c r="BE53" s="4"/>
      <c r="BF53" s="4"/>
      <c r="BG53" s="4"/>
      <c r="BH53" s="4"/>
      <c r="BI53" s="4"/>
      <c r="BJ53" s="4"/>
    </row>
    <row r="54" spans="1:62" x14ac:dyDescent="0.2">
      <c r="A54" s="56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  <c r="AA54" s="4"/>
      <c r="AB54" s="4"/>
      <c r="AC54" s="4"/>
      <c r="AD54" s="4"/>
      <c r="AE54" s="4"/>
      <c r="AF54" s="4"/>
      <c r="AG54" s="4"/>
      <c r="AH54" s="4"/>
      <c r="AI54" s="4"/>
      <c r="AJ54" s="4"/>
      <c r="AK54" s="4"/>
      <c r="AL54" s="4"/>
      <c r="AM54" s="4"/>
      <c r="AN54" s="4"/>
      <c r="AO54" s="4"/>
      <c r="AP54" s="4"/>
      <c r="AQ54" s="4"/>
      <c r="AR54" s="4"/>
      <c r="AS54" s="4"/>
      <c r="AT54" s="4"/>
      <c r="AU54" s="4"/>
      <c r="AV54" s="4"/>
      <c r="AW54" s="4"/>
      <c r="AX54" s="4"/>
      <c r="AY54" s="4"/>
      <c r="AZ54" s="4"/>
      <c r="BA54" s="4"/>
      <c r="BB54" s="4"/>
      <c r="BC54" s="4"/>
      <c r="BD54" s="4"/>
      <c r="BE54" s="4"/>
      <c r="BF54" s="4"/>
      <c r="BG54" s="4"/>
      <c r="BH54" s="4"/>
      <c r="BI54" s="4"/>
      <c r="BJ54" s="4"/>
    </row>
    <row r="55" spans="1:62" x14ac:dyDescent="0.2">
      <c r="A55" s="56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  <c r="AA55" s="4"/>
      <c r="AB55" s="4"/>
      <c r="AC55" s="4"/>
      <c r="AD55" s="4"/>
      <c r="AE55" s="4"/>
      <c r="AF55" s="4"/>
      <c r="AG55" s="4"/>
      <c r="AH55" s="4"/>
      <c r="AI55" s="4"/>
      <c r="AJ55" s="4"/>
      <c r="AK55" s="4"/>
      <c r="AL55" s="4"/>
      <c r="AM55" s="4"/>
      <c r="AN55" s="4"/>
      <c r="AO55" s="4"/>
      <c r="AP55" s="4"/>
      <c r="AQ55" s="4"/>
      <c r="AR55" s="4"/>
      <c r="AS55" s="4"/>
      <c r="AT55" s="4"/>
      <c r="AU55" s="4"/>
      <c r="AV55" s="4"/>
      <c r="AW55" s="4"/>
      <c r="AX55" s="4"/>
      <c r="AY55" s="4"/>
      <c r="AZ55" s="4"/>
      <c r="BA55" s="4"/>
      <c r="BB55" s="4"/>
      <c r="BC55" s="4"/>
      <c r="BD55" s="4"/>
      <c r="BE55" s="4"/>
      <c r="BF55" s="4"/>
      <c r="BG55" s="4"/>
      <c r="BH55" s="4"/>
      <c r="BI55" s="4"/>
      <c r="BJ55" s="4"/>
    </row>
    <row r="56" spans="1:62" x14ac:dyDescent="0.2">
      <c r="A56" s="56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  <c r="AA56" s="4"/>
      <c r="AB56" s="4"/>
      <c r="AC56" s="4"/>
      <c r="AD56" s="4"/>
      <c r="AE56" s="4"/>
      <c r="AF56" s="4"/>
      <c r="AG56" s="4"/>
      <c r="AH56" s="4"/>
      <c r="AI56" s="4"/>
      <c r="AJ56" s="4"/>
      <c r="AK56" s="4"/>
      <c r="AL56" s="4"/>
      <c r="AM56" s="4"/>
      <c r="AN56" s="4"/>
      <c r="AO56" s="4"/>
      <c r="AP56" s="4"/>
      <c r="AQ56" s="4"/>
      <c r="AR56" s="4"/>
      <c r="AS56" s="4"/>
      <c r="AT56" s="4"/>
      <c r="AU56" s="4"/>
      <c r="AV56" s="4"/>
      <c r="AW56" s="4"/>
      <c r="AX56" s="4"/>
      <c r="AY56" s="4"/>
      <c r="AZ56" s="4"/>
      <c r="BA56" s="4"/>
      <c r="BB56" s="4"/>
      <c r="BC56" s="4"/>
      <c r="BD56" s="4"/>
      <c r="BE56" s="4"/>
      <c r="BF56" s="4"/>
      <c r="BG56" s="4"/>
      <c r="BH56" s="4"/>
      <c r="BI56" s="4"/>
      <c r="BJ56" s="4"/>
    </row>
    <row r="57" spans="1:62" x14ac:dyDescent="0.2">
      <c r="A57" s="56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  <c r="AA57" s="4"/>
      <c r="AB57" s="4"/>
      <c r="AC57" s="4"/>
      <c r="AD57" s="4"/>
      <c r="AE57" s="4"/>
      <c r="AF57" s="4"/>
      <c r="AG57" s="4"/>
      <c r="AH57" s="4"/>
      <c r="AI57" s="4"/>
      <c r="AJ57" s="4"/>
      <c r="AK57" s="4"/>
      <c r="AL57" s="4"/>
      <c r="AM57" s="4"/>
      <c r="AN57" s="4"/>
      <c r="AO57" s="4"/>
      <c r="AP57" s="4"/>
      <c r="AQ57" s="4"/>
      <c r="AR57" s="4"/>
      <c r="AS57" s="4"/>
      <c r="AT57" s="4"/>
      <c r="AU57" s="4"/>
      <c r="AV57" s="4"/>
      <c r="AW57" s="4"/>
      <c r="AX57" s="4"/>
      <c r="AY57" s="4"/>
      <c r="AZ57" s="4"/>
      <c r="BA57" s="4"/>
      <c r="BB57" s="4"/>
      <c r="BC57" s="4"/>
      <c r="BD57" s="4"/>
      <c r="BE57" s="4"/>
      <c r="BF57" s="4"/>
      <c r="BG57" s="4"/>
      <c r="BH57" s="4"/>
      <c r="BI57" s="4"/>
      <c r="BJ57" s="4"/>
    </row>
    <row r="58" spans="1:62" x14ac:dyDescent="0.2">
      <c r="A58" s="56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  <c r="AA58" s="4"/>
      <c r="AB58" s="4"/>
      <c r="AC58" s="4"/>
      <c r="AD58" s="4"/>
      <c r="AE58" s="4"/>
      <c r="AF58" s="4"/>
      <c r="AG58" s="4"/>
      <c r="AH58" s="4"/>
      <c r="AI58" s="4"/>
      <c r="AJ58" s="4"/>
      <c r="AK58" s="4"/>
      <c r="AL58" s="4"/>
      <c r="AM58" s="4"/>
      <c r="AN58" s="4"/>
      <c r="AO58" s="4"/>
      <c r="AP58" s="4"/>
      <c r="AQ58" s="4"/>
      <c r="AR58" s="4"/>
      <c r="AS58" s="4"/>
      <c r="AT58" s="4"/>
      <c r="AU58" s="4"/>
      <c r="AV58" s="4"/>
      <c r="AW58" s="4"/>
      <c r="AX58" s="4"/>
      <c r="AY58" s="4"/>
      <c r="AZ58" s="4"/>
      <c r="BA58" s="4"/>
      <c r="BB58" s="4"/>
      <c r="BC58" s="4"/>
      <c r="BD58" s="4"/>
      <c r="BE58" s="4"/>
      <c r="BF58" s="4"/>
      <c r="BG58" s="4"/>
      <c r="BH58" s="4"/>
      <c r="BI58" s="4"/>
      <c r="BJ58" s="4"/>
    </row>
    <row r="59" spans="1:62" x14ac:dyDescent="0.2">
      <c r="A59" s="56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  <c r="AA59" s="4"/>
      <c r="AB59" s="4"/>
      <c r="AC59" s="4"/>
      <c r="AD59" s="4"/>
      <c r="AE59" s="4"/>
      <c r="AF59" s="4"/>
      <c r="AG59" s="4"/>
      <c r="AH59" s="4"/>
      <c r="AI59" s="4"/>
      <c r="AJ59" s="4"/>
      <c r="AK59" s="4"/>
      <c r="AL59" s="4"/>
      <c r="AM59" s="4"/>
      <c r="AN59" s="4"/>
      <c r="AO59" s="4"/>
      <c r="AP59" s="4"/>
      <c r="AQ59" s="4"/>
      <c r="AR59" s="4"/>
      <c r="AS59" s="4"/>
      <c r="AT59" s="4"/>
      <c r="AU59" s="4"/>
      <c r="AV59" s="4"/>
      <c r="AW59" s="4"/>
      <c r="AX59" s="4"/>
      <c r="AY59" s="4"/>
      <c r="AZ59" s="4"/>
      <c r="BA59" s="4"/>
      <c r="BB59" s="4"/>
      <c r="BC59" s="4"/>
      <c r="BD59" s="4"/>
      <c r="BE59" s="4"/>
      <c r="BF59" s="4"/>
      <c r="BG59" s="4"/>
      <c r="BH59" s="4"/>
      <c r="BI59" s="4"/>
      <c r="BJ59" s="4"/>
    </row>
    <row r="60" spans="1:62" x14ac:dyDescent="0.2">
      <c r="A60" s="56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  <c r="AA60" s="4"/>
      <c r="AB60" s="4"/>
      <c r="AC60" s="4"/>
      <c r="AD60" s="4"/>
      <c r="AE60" s="4"/>
      <c r="AF60" s="4"/>
      <c r="AG60" s="4"/>
      <c r="AH60" s="4"/>
      <c r="AI60" s="4"/>
      <c r="AJ60" s="4"/>
      <c r="AK60" s="4"/>
      <c r="AL60" s="4"/>
      <c r="AM60" s="4"/>
      <c r="AN60" s="4"/>
      <c r="AO60" s="4"/>
      <c r="AP60" s="4"/>
      <c r="AQ60" s="4"/>
      <c r="AR60" s="4"/>
      <c r="AS60" s="4"/>
      <c r="AT60" s="4"/>
      <c r="AU60" s="4"/>
      <c r="AV60" s="4"/>
      <c r="AW60" s="4"/>
      <c r="AX60" s="4"/>
      <c r="AY60" s="4"/>
      <c r="AZ60" s="4"/>
      <c r="BA60" s="4"/>
      <c r="BB60" s="4"/>
      <c r="BC60" s="4"/>
      <c r="BD60" s="4"/>
      <c r="BE60" s="4"/>
      <c r="BF60" s="4"/>
      <c r="BG60" s="4"/>
      <c r="BH60" s="4"/>
      <c r="BI60" s="4"/>
      <c r="BJ60" s="4"/>
    </row>
    <row r="61" spans="1:62" x14ac:dyDescent="0.2">
      <c r="A61" s="56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  <c r="AA61" s="4"/>
      <c r="AB61" s="4"/>
      <c r="AC61" s="4"/>
      <c r="AD61" s="4"/>
      <c r="AE61" s="4"/>
      <c r="AF61" s="4"/>
      <c r="AG61" s="4"/>
      <c r="AH61" s="4"/>
      <c r="AI61" s="4"/>
      <c r="AJ61" s="4"/>
      <c r="AK61" s="4"/>
      <c r="AL61" s="4"/>
      <c r="AM61" s="4"/>
      <c r="AN61" s="4"/>
      <c r="AO61" s="4"/>
      <c r="AP61" s="4"/>
      <c r="AQ61" s="4"/>
      <c r="AR61" s="4"/>
      <c r="AS61" s="4"/>
      <c r="AT61" s="4"/>
      <c r="AU61" s="4"/>
      <c r="AV61" s="4"/>
      <c r="AW61" s="4"/>
      <c r="AX61" s="4"/>
      <c r="AY61" s="4"/>
      <c r="AZ61" s="4"/>
      <c r="BA61" s="4"/>
      <c r="BB61" s="4"/>
      <c r="BC61" s="4"/>
      <c r="BD61" s="4"/>
      <c r="BE61" s="4"/>
      <c r="BF61" s="4"/>
      <c r="BG61" s="4"/>
      <c r="BH61" s="4"/>
      <c r="BI61" s="4"/>
      <c r="BJ61" s="4"/>
    </row>
    <row r="62" spans="1:62" x14ac:dyDescent="0.2">
      <c r="A62" s="56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  <c r="AA62" s="4"/>
      <c r="AB62" s="4"/>
      <c r="AC62" s="4"/>
      <c r="AD62" s="4"/>
      <c r="AE62" s="4"/>
      <c r="AF62" s="4"/>
      <c r="AG62" s="4"/>
      <c r="AH62" s="4"/>
      <c r="AI62" s="4"/>
      <c r="AJ62" s="4"/>
      <c r="AK62" s="4"/>
      <c r="AL62" s="4"/>
      <c r="AM62" s="4"/>
      <c r="AN62" s="4"/>
      <c r="AO62" s="4"/>
      <c r="AP62" s="4"/>
      <c r="AQ62" s="4"/>
      <c r="AR62" s="4"/>
      <c r="AS62" s="4"/>
      <c r="AT62" s="4"/>
      <c r="AU62" s="4"/>
      <c r="AV62" s="4"/>
      <c r="AW62" s="4"/>
      <c r="AX62" s="4"/>
      <c r="AY62" s="4"/>
      <c r="AZ62" s="4"/>
      <c r="BA62" s="4"/>
      <c r="BB62" s="4"/>
      <c r="BC62" s="4"/>
      <c r="BD62" s="4"/>
      <c r="BE62" s="4"/>
      <c r="BF62" s="4"/>
      <c r="BG62" s="4"/>
      <c r="BH62" s="4"/>
      <c r="BI62" s="4"/>
      <c r="BJ62" s="4"/>
    </row>
    <row r="63" spans="1:62" x14ac:dyDescent="0.2">
      <c r="A63" s="56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  <c r="AA63" s="4"/>
      <c r="AB63" s="4"/>
      <c r="AC63" s="4"/>
      <c r="AD63" s="4"/>
      <c r="AE63" s="4"/>
      <c r="AF63" s="4"/>
      <c r="AG63" s="4"/>
      <c r="AH63" s="4"/>
      <c r="AI63" s="4"/>
      <c r="AJ63" s="4"/>
      <c r="AK63" s="4"/>
      <c r="AL63" s="4"/>
      <c r="AM63" s="4"/>
      <c r="AN63" s="4"/>
      <c r="AO63" s="4"/>
      <c r="AP63" s="4"/>
      <c r="AQ63" s="4"/>
      <c r="AR63" s="4"/>
      <c r="AS63" s="4"/>
      <c r="AT63" s="4"/>
      <c r="AU63" s="4"/>
      <c r="AV63" s="4"/>
      <c r="AW63" s="4"/>
      <c r="AX63" s="4"/>
      <c r="AY63" s="4"/>
      <c r="AZ63" s="4"/>
      <c r="BA63" s="4"/>
      <c r="BB63" s="4"/>
      <c r="BC63" s="4"/>
      <c r="BD63" s="4"/>
      <c r="BE63" s="4"/>
      <c r="BF63" s="4"/>
      <c r="BG63" s="4"/>
      <c r="BH63" s="4"/>
      <c r="BI63" s="4"/>
      <c r="BJ63" s="4"/>
    </row>
  </sheetData>
  <phoneticPr fontId="2" type="noConversion"/>
  <pageMargins left="0.7" right="0.7" top="0.75" bottom="0.75" header="0.3" footer="0.3"/>
  <pageSetup orientation="portrait" r:id="rId1"/>
</worksheet>
</file>

<file path=xl/worksheets/sheet5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D65BC4-7454-4A45-AA93-771B11A13108}">
  <sheetPr>
    <tabColor rgb="FFD9C6FE"/>
  </sheetPr>
  <dimension ref="A1:B4"/>
  <sheetViews>
    <sheetView workbookViewId="0">
      <selection activeCell="A2" sqref="A2"/>
    </sheetView>
  </sheetViews>
  <sheetFormatPr baseColWidth="10" defaultColWidth="9.1640625" defaultRowHeight="16" x14ac:dyDescent="0.2"/>
  <cols>
    <col min="1" max="1" width="12.1640625" style="1" customWidth="1"/>
    <col min="2" max="16384" width="9.1640625" style="1"/>
  </cols>
  <sheetData>
    <row r="1" spans="1:2" x14ac:dyDescent="0.2">
      <c r="A1" s="1" t="str">
        <f>_xlfn.CONCAT( "Table of Initial Disposal Capacity [",VLOOKUP("volume", Units!$A$2:$B$11, 2, FALSE),"/", VLOOKUP("time", Units!$A$2:$B$11, 2, FALSE),"]")</f>
        <v>Table of Initial Disposal Capacity [bbl/day]</v>
      </c>
    </row>
    <row r="2" spans="1:2" s="4" customFormat="1" x14ac:dyDescent="0.2">
      <c r="A2" s="6" t="s">
        <v>207</v>
      </c>
      <c r="B2" s="6" t="s">
        <v>45</v>
      </c>
    </row>
    <row r="3" spans="1:2" x14ac:dyDescent="0.2">
      <c r="A3" s="6"/>
      <c r="B3" s="54"/>
    </row>
    <row r="4" spans="1:2" x14ac:dyDescent="0.2">
      <c r="A4" s="6"/>
      <c r="B4" s="54"/>
    </row>
  </sheetData>
  <pageMargins left="0.7" right="0.7" top="0.75" bottom="0.75" header="0.3" footer="0.3"/>
  <pageSetup orientation="portrait" r:id="rId1"/>
</worksheet>
</file>

<file path=xl/worksheets/sheet5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DF796A-A87C-4F37-A825-AF0AD18C802A}">
  <sheetPr>
    <tabColor rgb="FFD9C6FE"/>
  </sheetPr>
  <dimension ref="A1:B5"/>
  <sheetViews>
    <sheetView workbookViewId="0">
      <selection activeCell="A2" sqref="A2"/>
    </sheetView>
  </sheetViews>
  <sheetFormatPr baseColWidth="10" defaultColWidth="9.1640625" defaultRowHeight="16" x14ac:dyDescent="0.2"/>
  <cols>
    <col min="1" max="1" width="14.5" style="1" customWidth="1"/>
    <col min="2" max="16384" width="9.1640625" style="1"/>
  </cols>
  <sheetData>
    <row r="1" spans="1:2" x14ac:dyDescent="0.2">
      <c r="A1" s="1" t="str">
        <f>_xlfn.CONCAT( "Table of Initial Storage Capacity [",VLOOKUP("volume", Units!$A$2:$B$11, 2, FALSE),"]")</f>
        <v>Table of Initial Storage Capacity [bbl]</v>
      </c>
    </row>
    <row r="2" spans="1:2" s="4" customFormat="1" x14ac:dyDescent="0.2">
      <c r="A2" s="6" t="s">
        <v>148</v>
      </c>
      <c r="B2" s="6" t="s">
        <v>45</v>
      </c>
    </row>
    <row r="3" spans="1:2" x14ac:dyDescent="0.2">
      <c r="A3" s="6"/>
      <c r="B3" s="54"/>
    </row>
    <row r="4" spans="1:2" x14ac:dyDescent="0.2">
      <c r="A4" s="6"/>
      <c r="B4" s="54"/>
    </row>
    <row r="5" spans="1:2" x14ac:dyDescent="0.2">
      <c r="A5" s="6"/>
      <c r="B5" s="54"/>
    </row>
  </sheetData>
  <pageMargins left="0.7" right="0.7" top="0.75" bottom="0.75" header="0.3" footer="0.3"/>
  <pageSetup orientation="portrait" r:id="rId1"/>
</worksheet>
</file>

<file path=xl/worksheets/sheet5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A13F53-E3AE-452E-A1A1-316A2C800322}">
  <sheetPr>
    <tabColor rgb="FFD9C6FE"/>
  </sheetPr>
  <dimension ref="A1:F4"/>
  <sheetViews>
    <sheetView workbookViewId="0">
      <selection activeCell="A2" sqref="A2"/>
    </sheetView>
  </sheetViews>
  <sheetFormatPr baseColWidth="10" defaultColWidth="9.1640625" defaultRowHeight="16" x14ac:dyDescent="0.2"/>
  <cols>
    <col min="1" max="1" width="16.1640625" style="1" customWidth="1"/>
    <col min="2" max="16384" width="9.1640625" style="1"/>
  </cols>
  <sheetData>
    <row r="1" spans="1:6" x14ac:dyDescent="0.2">
      <c r="A1" s="1" t="str">
        <f>_xlfn.CONCAT( "Table of Initial Treatment Capacity [",VLOOKUP("volume", Units!$A$2:$B$11, 2, FALSE),"/", VLOOKUP("time", Units!$A$2:$B$11, 2, FALSE),"]")</f>
        <v>Table of Initial Treatment Capacity [bbl/day]</v>
      </c>
    </row>
    <row r="2" spans="1:6" x14ac:dyDescent="0.2">
      <c r="A2" s="6" t="s">
        <v>146</v>
      </c>
      <c r="B2" s="6"/>
      <c r="C2" s="6"/>
      <c r="D2" s="6"/>
      <c r="E2" s="6"/>
      <c r="F2" s="6"/>
    </row>
    <row r="3" spans="1:6" x14ac:dyDescent="0.2">
      <c r="A3" s="6"/>
      <c r="B3" s="54"/>
      <c r="C3" s="54"/>
      <c r="D3" s="54"/>
      <c r="E3" s="54"/>
      <c r="F3" s="54"/>
    </row>
    <row r="4" spans="1:6" x14ac:dyDescent="0.2">
      <c r="A4" s="6"/>
      <c r="B4" s="54"/>
      <c r="C4" s="54"/>
      <c r="D4" s="54"/>
      <c r="E4" s="54"/>
      <c r="F4" s="54"/>
    </row>
  </sheetData>
  <pageMargins left="0.7" right="0.7" top="0.75" bottom="0.75" header="0.3" footer="0.3"/>
  <pageSetup orientation="portrait" r:id="rId1"/>
</worksheet>
</file>

<file path=xl/worksheets/sheet5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F8A3C4-CDFB-42B9-A561-3BE030B562A7}">
  <sheetPr>
    <tabColor rgb="FFD9C6FE"/>
  </sheetPr>
  <dimension ref="A1:BA5"/>
  <sheetViews>
    <sheetView workbookViewId="0"/>
  </sheetViews>
  <sheetFormatPr baseColWidth="10" defaultColWidth="9.1640625" defaultRowHeight="16" x14ac:dyDescent="0.2"/>
  <cols>
    <col min="1" max="1" width="16.83203125" style="1" customWidth="1"/>
    <col min="2" max="16384" width="9.1640625" style="1"/>
  </cols>
  <sheetData>
    <row r="1" spans="1:53" x14ac:dyDescent="0.2">
      <c r="A1" s="1" t="str">
        <f>_xlfn.CONCAT( "Table of Beneficial Reuse minimum required flow [",VLOOKUP("volume", Units!$A$2:$B$11, 2, FALSE),"/", VLOOKUP("time", Units!$A$2:$B$11, 2, FALSE),"]")</f>
        <v>Table of Beneficial Reuse minimum required flow [bbl/day]</v>
      </c>
    </row>
    <row r="2" spans="1:53" x14ac:dyDescent="0.2">
      <c r="A2" s="6" t="s">
        <v>255</v>
      </c>
      <c r="B2" s="6" t="s">
        <v>154</v>
      </c>
      <c r="C2" s="6" t="s">
        <v>155</v>
      </c>
      <c r="D2" s="6" t="s">
        <v>156</v>
      </c>
      <c r="E2" s="6" t="s">
        <v>157</v>
      </c>
      <c r="F2" s="6" t="s">
        <v>158</v>
      </c>
      <c r="G2" s="6" t="s">
        <v>159</v>
      </c>
      <c r="H2" s="6" t="s">
        <v>160</v>
      </c>
      <c r="I2" s="6" t="s">
        <v>161</v>
      </c>
      <c r="J2" s="6" t="s">
        <v>162</v>
      </c>
      <c r="K2" s="6" t="s">
        <v>163</v>
      </c>
      <c r="L2" s="6" t="s">
        <v>164</v>
      </c>
      <c r="M2" s="6" t="s">
        <v>165</v>
      </c>
      <c r="N2" s="6" t="s">
        <v>166</v>
      </c>
      <c r="O2" s="6" t="s">
        <v>167</v>
      </c>
      <c r="P2" s="6" t="s">
        <v>168</v>
      </c>
      <c r="Q2" s="6" t="s">
        <v>169</v>
      </c>
      <c r="R2" s="6" t="s">
        <v>170</v>
      </c>
      <c r="S2" s="6" t="s">
        <v>171</v>
      </c>
      <c r="T2" s="6" t="s">
        <v>172</v>
      </c>
      <c r="U2" s="6" t="s">
        <v>173</v>
      </c>
      <c r="V2" s="6" t="s">
        <v>174</v>
      </c>
      <c r="W2" s="6" t="s">
        <v>175</v>
      </c>
      <c r="X2" s="6" t="s">
        <v>176</v>
      </c>
      <c r="Y2" s="6" t="s">
        <v>177</v>
      </c>
      <c r="Z2" s="6" t="s">
        <v>178</v>
      </c>
      <c r="AA2" s="6" t="s">
        <v>179</v>
      </c>
      <c r="AB2" s="6" t="s">
        <v>180</v>
      </c>
      <c r="AC2" s="6" t="s">
        <v>181</v>
      </c>
      <c r="AD2" s="6" t="s">
        <v>182</v>
      </c>
      <c r="AE2" s="6" t="s">
        <v>183</v>
      </c>
      <c r="AF2" s="6" t="s">
        <v>184</v>
      </c>
      <c r="AG2" s="6" t="s">
        <v>185</v>
      </c>
      <c r="AH2" s="6" t="s">
        <v>186</v>
      </c>
      <c r="AI2" s="6" t="s">
        <v>187</v>
      </c>
      <c r="AJ2" s="6" t="s">
        <v>188</v>
      </c>
      <c r="AK2" s="6" t="s">
        <v>189</v>
      </c>
      <c r="AL2" s="6" t="s">
        <v>190</v>
      </c>
      <c r="AM2" s="6" t="s">
        <v>191</v>
      </c>
      <c r="AN2" s="6" t="s">
        <v>192</v>
      </c>
      <c r="AO2" s="6" t="s">
        <v>193</v>
      </c>
      <c r="AP2" s="6" t="s">
        <v>194</v>
      </c>
      <c r="AQ2" s="6" t="s">
        <v>195</v>
      </c>
      <c r="AR2" s="6" t="s">
        <v>196</v>
      </c>
      <c r="AS2" s="6" t="s">
        <v>197</v>
      </c>
      <c r="AT2" s="6" t="s">
        <v>198</v>
      </c>
      <c r="AU2" s="6" t="s">
        <v>199</v>
      </c>
      <c r="AV2" s="6" t="s">
        <v>200</v>
      </c>
      <c r="AW2" s="6" t="s">
        <v>201</v>
      </c>
      <c r="AX2" s="6" t="s">
        <v>202</v>
      </c>
      <c r="AY2" s="6" t="s">
        <v>203</v>
      </c>
      <c r="AZ2" s="6" t="s">
        <v>204</v>
      </c>
      <c r="BA2" s="6" t="s">
        <v>205</v>
      </c>
    </row>
    <row r="3" spans="1:53" x14ac:dyDescent="0.2">
      <c r="A3" s="6"/>
      <c r="B3" s="54"/>
      <c r="C3" s="54"/>
      <c r="D3" s="54"/>
      <c r="E3" s="54"/>
      <c r="F3" s="54"/>
      <c r="G3" s="54"/>
      <c r="H3" s="54"/>
      <c r="I3" s="54"/>
      <c r="J3" s="54"/>
      <c r="K3" s="54"/>
      <c r="L3" s="54"/>
      <c r="M3" s="54"/>
      <c r="N3" s="54"/>
      <c r="O3" s="54"/>
      <c r="P3" s="54"/>
      <c r="Q3" s="54"/>
      <c r="R3" s="54"/>
      <c r="S3" s="54"/>
      <c r="T3" s="54"/>
      <c r="U3" s="54"/>
      <c r="V3" s="54"/>
      <c r="W3" s="54"/>
      <c r="X3" s="54"/>
      <c r="Y3" s="54"/>
      <c r="Z3" s="54"/>
      <c r="AA3" s="54"/>
      <c r="AB3" s="54"/>
      <c r="AC3" s="54"/>
      <c r="AD3" s="54"/>
      <c r="AE3" s="54"/>
      <c r="AF3" s="54"/>
      <c r="AG3" s="54"/>
      <c r="AH3" s="54"/>
      <c r="AI3" s="54"/>
      <c r="AJ3" s="54"/>
      <c r="AK3" s="54"/>
      <c r="AL3" s="54"/>
      <c r="AM3" s="54"/>
      <c r="AN3" s="54"/>
      <c r="AO3" s="54"/>
      <c r="AP3" s="54"/>
      <c r="AQ3" s="54"/>
      <c r="AR3" s="54"/>
      <c r="AS3" s="54"/>
      <c r="AT3" s="54"/>
      <c r="AU3" s="54"/>
      <c r="AV3" s="54"/>
      <c r="AW3" s="54"/>
      <c r="AX3" s="54"/>
      <c r="AY3" s="54"/>
      <c r="AZ3" s="54"/>
      <c r="BA3" s="54"/>
    </row>
    <row r="4" spans="1:53" x14ac:dyDescent="0.2">
      <c r="A4" s="6"/>
      <c r="B4" s="54"/>
      <c r="C4" s="54"/>
      <c r="D4" s="54"/>
      <c r="E4" s="54"/>
      <c r="F4" s="54"/>
      <c r="G4" s="54"/>
      <c r="H4" s="54"/>
      <c r="I4" s="54"/>
      <c r="J4" s="54"/>
      <c r="K4" s="54"/>
      <c r="L4" s="54"/>
      <c r="M4" s="54"/>
      <c r="N4" s="54"/>
      <c r="O4" s="54"/>
      <c r="P4" s="54"/>
      <c r="Q4" s="54"/>
      <c r="R4" s="54"/>
      <c r="S4" s="54"/>
      <c r="T4" s="54"/>
      <c r="U4" s="54"/>
      <c r="V4" s="54"/>
      <c r="W4" s="54"/>
      <c r="X4" s="54"/>
      <c r="Y4" s="54"/>
      <c r="Z4" s="54"/>
      <c r="AA4" s="54"/>
      <c r="AB4" s="54"/>
      <c r="AC4" s="54"/>
      <c r="AD4" s="54"/>
      <c r="AE4" s="54"/>
      <c r="AF4" s="54"/>
      <c r="AG4" s="54"/>
      <c r="AH4" s="54"/>
      <c r="AI4" s="54"/>
      <c r="AJ4" s="54"/>
      <c r="AK4" s="54"/>
      <c r="AL4" s="54"/>
      <c r="AM4" s="54"/>
      <c r="AN4" s="54"/>
      <c r="AO4" s="54"/>
      <c r="AP4" s="54"/>
      <c r="AQ4" s="54"/>
      <c r="AR4" s="54"/>
      <c r="AS4" s="54"/>
      <c r="AT4" s="54"/>
      <c r="AU4" s="54"/>
      <c r="AV4" s="54"/>
      <c r="AW4" s="54"/>
      <c r="AX4" s="54"/>
      <c r="AY4" s="54"/>
      <c r="AZ4" s="54"/>
      <c r="BA4" s="54"/>
    </row>
    <row r="5" spans="1:53" x14ac:dyDescent="0.2">
      <c r="A5" s="6"/>
      <c r="B5" s="54"/>
      <c r="C5" s="54"/>
      <c r="D5" s="54"/>
      <c r="E5" s="54"/>
      <c r="F5" s="54"/>
      <c r="G5" s="54"/>
      <c r="H5" s="54"/>
      <c r="I5" s="54"/>
      <c r="J5" s="54"/>
      <c r="K5" s="54"/>
      <c r="L5" s="54"/>
      <c r="M5" s="54"/>
      <c r="N5" s="54"/>
      <c r="O5" s="54"/>
      <c r="P5" s="54"/>
      <c r="Q5" s="54"/>
      <c r="R5" s="54"/>
      <c r="S5" s="54"/>
      <c r="T5" s="54"/>
      <c r="U5" s="54"/>
      <c r="V5" s="54"/>
      <c r="W5" s="54"/>
      <c r="X5" s="54"/>
      <c r="Y5" s="54"/>
      <c r="Z5" s="54"/>
      <c r="AA5" s="54"/>
      <c r="AB5" s="54"/>
      <c r="AC5" s="54"/>
      <c r="AD5" s="54"/>
      <c r="AE5" s="54"/>
      <c r="AF5" s="54"/>
      <c r="AG5" s="54"/>
      <c r="AH5" s="54"/>
      <c r="AI5" s="54"/>
      <c r="AJ5" s="54"/>
      <c r="AK5" s="54"/>
      <c r="AL5" s="54"/>
      <c r="AM5" s="54"/>
      <c r="AN5" s="54"/>
      <c r="AO5" s="54"/>
      <c r="AP5" s="54"/>
      <c r="AQ5" s="54"/>
      <c r="AR5" s="54"/>
      <c r="AS5" s="54"/>
      <c r="AT5" s="54"/>
      <c r="AU5" s="54"/>
      <c r="AV5" s="54"/>
      <c r="AW5" s="54"/>
      <c r="AX5" s="54"/>
      <c r="AY5" s="54"/>
      <c r="AZ5" s="54"/>
      <c r="BA5" s="54"/>
    </row>
  </sheetData>
  <pageMargins left="0.7" right="0.7" top="0.75" bottom="0.75" header="0.3" footer="0.3"/>
</worksheet>
</file>

<file path=xl/worksheets/sheet5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F0BCF9-7789-4700-AF4D-19AFDD7DEF21}">
  <sheetPr>
    <tabColor rgb="FFD9C6FE"/>
  </sheetPr>
  <dimension ref="A1:BA5"/>
  <sheetViews>
    <sheetView workbookViewId="0">
      <selection activeCell="A2" sqref="A2"/>
    </sheetView>
  </sheetViews>
  <sheetFormatPr baseColWidth="10" defaultColWidth="9.1640625" defaultRowHeight="16" x14ac:dyDescent="0.2"/>
  <cols>
    <col min="1" max="1" width="16.1640625" style="1" customWidth="1"/>
    <col min="2" max="16384" width="9.1640625" style="1"/>
  </cols>
  <sheetData>
    <row r="1" spans="1:53" x14ac:dyDescent="0.2">
      <c r="A1" s="1" t="str">
        <f>_xlfn.CONCAT( "Table of Beneficial Reuse Capacity [",VLOOKUP("volume", Units!$A$2:$B$11, 2, FALSE),"/", VLOOKUP("time", Units!$A$2:$B$11, 2, FALSE),"] (leave cells blank to indicate infinite capacity)")</f>
        <v>Table of Beneficial Reuse Capacity [bbl/day] (leave cells blank to indicate infinite capacity)</v>
      </c>
    </row>
    <row r="2" spans="1:53" x14ac:dyDescent="0.2">
      <c r="A2" s="6" t="s">
        <v>255</v>
      </c>
      <c r="B2" s="6" t="s">
        <v>154</v>
      </c>
      <c r="C2" s="6" t="s">
        <v>155</v>
      </c>
      <c r="D2" s="6" t="s">
        <v>156</v>
      </c>
      <c r="E2" s="6" t="s">
        <v>157</v>
      </c>
      <c r="F2" s="6" t="s">
        <v>158</v>
      </c>
      <c r="G2" s="6" t="s">
        <v>159</v>
      </c>
      <c r="H2" s="6" t="s">
        <v>160</v>
      </c>
      <c r="I2" s="6" t="s">
        <v>161</v>
      </c>
      <c r="J2" s="6" t="s">
        <v>162</v>
      </c>
      <c r="K2" s="6" t="s">
        <v>163</v>
      </c>
      <c r="L2" s="6" t="s">
        <v>164</v>
      </c>
      <c r="M2" s="6" t="s">
        <v>165</v>
      </c>
      <c r="N2" s="6" t="s">
        <v>166</v>
      </c>
      <c r="O2" s="6" t="s">
        <v>167</v>
      </c>
      <c r="P2" s="6" t="s">
        <v>168</v>
      </c>
      <c r="Q2" s="6" t="s">
        <v>169</v>
      </c>
      <c r="R2" s="6" t="s">
        <v>170</v>
      </c>
      <c r="S2" s="6" t="s">
        <v>171</v>
      </c>
      <c r="T2" s="6" t="s">
        <v>172</v>
      </c>
      <c r="U2" s="6" t="s">
        <v>173</v>
      </c>
      <c r="V2" s="6" t="s">
        <v>174</v>
      </c>
      <c r="W2" s="6" t="s">
        <v>175</v>
      </c>
      <c r="X2" s="6" t="s">
        <v>176</v>
      </c>
      <c r="Y2" s="6" t="s">
        <v>177</v>
      </c>
      <c r="Z2" s="6" t="s">
        <v>178</v>
      </c>
      <c r="AA2" s="6" t="s">
        <v>179</v>
      </c>
      <c r="AB2" s="6" t="s">
        <v>180</v>
      </c>
      <c r="AC2" s="6" t="s">
        <v>181</v>
      </c>
      <c r="AD2" s="6" t="s">
        <v>182</v>
      </c>
      <c r="AE2" s="6" t="s">
        <v>183</v>
      </c>
      <c r="AF2" s="6" t="s">
        <v>184</v>
      </c>
      <c r="AG2" s="6" t="s">
        <v>185</v>
      </c>
      <c r="AH2" s="6" t="s">
        <v>186</v>
      </c>
      <c r="AI2" s="6" t="s">
        <v>187</v>
      </c>
      <c r="AJ2" s="6" t="s">
        <v>188</v>
      </c>
      <c r="AK2" s="6" t="s">
        <v>189</v>
      </c>
      <c r="AL2" s="6" t="s">
        <v>190</v>
      </c>
      <c r="AM2" s="6" t="s">
        <v>191</v>
      </c>
      <c r="AN2" s="6" t="s">
        <v>192</v>
      </c>
      <c r="AO2" s="6" t="s">
        <v>193</v>
      </c>
      <c r="AP2" s="6" t="s">
        <v>194</v>
      </c>
      <c r="AQ2" s="6" t="s">
        <v>195</v>
      </c>
      <c r="AR2" s="6" t="s">
        <v>196</v>
      </c>
      <c r="AS2" s="6" t="s">
        <v>197</v>
      </c>
      <c r="AT2" s="6" t="s">
        <v>198</v>
      </c>
      <c r="AU2" s="6" t="s">
        <v>199</v>
      </c>
      <c r="AV2" s="6" t="s">
        <v>200</v>
      </c>
      <c r="AW2" s="6" t="s">
        <v>201</v>
      </c>
      <c r="AX2" s="6" t="s">
        <v>202</v>
      </c>
      <c r="AY2" s="6" t="s">
        <v>203</v>
      </c>
      <c r="AZ2" s="6" t="s">
        <v>204</v>
      </c>
      <c r="BA2" s="6" t="s">
        <v>205</v>
      </c>
    </row>
    <row r="3" spans="1:53" x14ac:dyDescent="0.2">
      <c r="A3" s="6"/>
      <c r="B3" s="54"/>
      <c r="C3" s="54"/>
      <c r="D3" s="54"/>
      <c r="E3" s="54"/>
      <c r="F3" s="54"/>
      <c r="G3" s="54"/>
      <c r="H3" s="54"/>
      <c r="I3" s="54"/>
      <c r="J3" s="54"/>
      <c r="K3" s="54"/>
      <c r="L3" s="54"/>
      <c r="M3" s="54"/>
      <c r="N3" s="54"/>
      <c r="O3" s="54"/>
      <c r="P3" s="54"/>
      <c r="Q3" s="54"/>
      <c r="R3" s="54"/>
      <c r="S3" s="54"/>
      <c r="T3" s="54"/>
      <c r="U3" s="54"/>
      <c r="V3" s="54"/>
      <c r="W3" s="54"/>
      <c r="X3" s="54"/>
      <c r="Y3" s="54"/>
      <c r="Z3" s="54"/>
      <c r="AA3" s="54"/>
      <c r="AB3" s="54"/>
      <c r="AC3" s="54"/>
      <c r="AD3" s="54"/>
      <c r="AE3" s="54"/>
      <c r="AF3" s="54"/>
      <c r="AG3" s="54"/>
      <c r="AH3" s="54"/>
      <c r="AI3" s="54"/>
      <c r="AJ3" s="54"/>
      <c r="AK3" s="54"/>
      <c r="AL3" s="54"/>
      <c r="AM3" s="54"/>
      <c r="AN3" s="54"/>
      <c r="AO3" s="54"/>
      <c r="AP3" s="54"/>
      <c r="AQ3" s="54"/>
      <c r="AR3" s="54"/>
      <c r="AS3" s="54"/>
      <c r="AT3" s="54"/>
      <c r="AU3" s="54"/>
      <c r="AV3" s="54"/>
      <c r="AW3" s="54"/>
      <c r="AX3" s="54"/>
      <c r="AY3" s="54"/>
      <c r="AZ3" s="54"/>
      <c r="BA3" s="54"/>
    </row>
    <row r="4" spans="1:53" x14ac:dyDescent="0.2">
      <c r="A4" s="6"/>
      <c r="B4" s="54"/>
      <c r="C4" s="54"/>
      <c r="D4" s="54"/>
      <c r="E4" s="54"/>
      <c r="F4" s="54"/>
      <c r="G4" s="54"/>
      <c r="H4" s="54"/>
      <c r="I4" s="54"/>
      <c r="J4" s="54"/>
      <c r="K4" s="54"/>
      <c r="L4" s="54"/>
      <c r="M4" s="54"/>
      <c r="N4" s="54"/>
      <c r="O4" s="54"/>
      <c r="P4" s="54"/>
      <c r="Q4" s="54"/>
      <c r="R4" s="54"/>
      <c r="S4" s="54"/>
      <c r="T4" s="54"/>
      <c r="U4" s="54"/>
      <c r="V4" s="54"/>
      <c r="W4" s="54"/>
      <c r="X4" s="54"/>
      <c r="Y4" s="54"/>
      <c r="Z4" s="54"/>
      <c r="AA4" s="54"/>
      <c r="AB4" s="54"/>
      <c r="AC4" s="54"/>
      <c r="AD4" s="54"/>
      <c r="AE4" s="54"/>
      <c r="AF4" s="54"/>
      <c r="AG4" s="54"/>
      <c r="AH4" s="54"/>
      <c r="AI4" s="54"/>
      <c r="AJ4" s="54"/>
      <c r="AK4" s="54"/>
      <c r="AL4" s="54"/>
      <c r="AM4" s="54"/>
      <c r="AN4" s="54"/>
      <c r="AO4" s="54"/>
      <c r="AP4" s="54"/>
      <c r="AQ4" s="54"/>
      <c r="AR4" s="54"/>
      <c r="AS4" s="54"/>
      <c r="AT4" s="54"/>
      <c r="AU4" s="54"/>
      <c r="AV4" s="54"/>
      <c r="AW4" s="54"/>
      <c r="AX4" s="54"/>
      <c r="AY4" s="54"/>
      <c r="AZ4" s="54"/>
      <c r="BA4" s="54"/>
    </row>
    <row r="5" spans="1:53" x14ac:dyDescent="0.2">
      <c r="A5" s="6"/>
      <c r="B5" s="54"/>
      <c r="C5" s="54"/>
      <c r="D5" s="54"/>
      <c r="E5" s="54"/>
      <c r="F5" s="54"/>
      <c r="G5" s="54"/>
      <c r="H5" s="54"/>
      <c r="I5" s="54"/>
      <c r="J5" s="54"/>
      <c r="K5" s="54"/>
      <c r="L5" s="54"/>
      <c r="M5" s="54"/>
      <c r="N5" s="54"/>
      <c r="O5" s="54"/>
      <c r="P5" s="54"/>
      <c r="Q5" s="54"/>
      <c r="R5" s="54"/>
      <c r="S5" s="54"/>
      <c r="T5" s="54"/>
      <c r="U5" s="54"/>
      <c r="V5" s="54"/>
      <c r="W5" s="54"/>
      <c r="X5" s="54"/>
      <c r="Y5" s="54"/>
      <c r="Z5" s="54"/>
      <c r="AA5" s="54"/>
      <c r="AB5" s="54"/>
      <c r="AC5" s="54"/>
      <c r="AD5" s="54"/>
      <c r="AE5" s="54"/>
      <c r="AF5" s="54"/>
      <c r="AG5" s="54"/>
      <c r="AH5" s="54"/>
      <c r="AI5" s="54"/>
      <c r="AJ5" s="54"/>
      <c r="AK5" s="54"/>
      <c r="AL5" s="54"/>
      <c r="AM5" s="54"/>
      <c r="AN5" s="54"/>
      <c r="AO5" s="54"/>
      <c r="AP5" s="54"/>
      <c r="AQ5" s="54"/>
      <c r="AR5" s="54"/>
      <c r="AS5" s="54"/>
      <c r="AT5" s="54"/>
      <c r="AU5" s="54"/>
      <c r="AV5" s="54"/>
      <c r="AW5" s="54"/>
      <c r="AX5" s="54"/>
      <c r="AY5" s="54"/>
      <c r="AZ5" s="54"/>
      <c r="BA5" s="54"/>
    </row>
  </sheetData>
  <pageMargins left="0.7" right="0.7" top="0.75" bottom="0.75" header="0.3" footer="0.3"/>
</worksheet>
</file>

<file path=xl/worksheets/sheet6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A2DBF7-A8C0-4CE1-BE66-F8E077B6F0F1}">
  <sheetPr>
    <tabColor rgb="FFD9C6FE"/>
  </sheetPr>
  <dimension ref="A1:BA15"/>
  <sheetViews>
    <sheetView workbookViewId="0">
      <selection activeCell="A2" sqref="A2"/>
    </sheetView>
  </sheetViews>
  <sheetFormatPr baseColWidth="10" defaultColWidth="9.1640625" defaultRowHeight="16" x14ac:dyDescent="0.2"/>
  <cols>
    <col min="1" max="1" width="19.1640625" style="1" customWidth="1"/>
    <col min="2" max="16384" width="9.1640625" style="1"/>
  </cols>
  <sheetData>
    <row r="1" spans="1:53" x14ac:dyDescent="0.2">
      <c r="A1" s="1" t="str">
        <f>_xlfn.CONCAT( "Table of External Water Sourcing Availability [",VLOOKUP("volume", Units!$A$2:$B$11, 2, FALSE),"/", VLOOKUP("time", Units!$A$2:$B$11, 2, FALSE),"]")</f>
        <v>Table of External Water Sourcing Availability [bbl/day]</v>
      </c>
      <c r="E1" s="1" t="s">
        <v>105</v>
      </c>
      <c r="F1" s="1">
        <v>71428.571428571406</v>
      </c>
      <c r="H1" s="1" t="s">
        <v>106</v>
      </c>
      <c r="I1" s="1">
        <v>42857.142857142899</v>
      </c>
      <c r="K1" s="1" t="s">
        <v>225</v>
      </c>
      <c r="L1" s="1">
        <v>0.7</v>
      </c>
    </row>
    <row r="2" spans="1:53" s="4" customFormat="1" x14ac:dyDescent="0.2">
      <c r="A2" s="6" t="s">
        <v>296</v>
      </c>
      <c r="B2" s="6" t="s">
        <v>154</v>
      </c>
      <c r="C2" s="6" t="s">
        <v>155</v>
      </c>
      <c r="D2" s="6" t="s">
        <v>156</v>
      </c>
      <c r="E2" s="6" t="s">
        <v>157</v>
      </c>
      <c r="F2" s="6" t="s">
        <v>158</v>
      </c>
      <c r="G2" s="6" t="s">
        <v>159</v>
      </c>
      <c r="H2" s="6" t="s">
        <v>160</v>
      </c>
      <c r="I2" s="6" t="s">
        <v>161</v>
      </c>
      <c r="J2" s="6" t="s">
        <v>162</v>
      </c>
      <c r="K2" s="6" t="s">
        <v>163</v>
      </c>
      <c r="L2" s="6" t="s">
        <v>164</v>
      </c>
      <c r="M2" s="6" t="s">
        <v>165</v>
      </c>
      <c r="N2" s="6" t="s">
        <v>166</v>
      </c>
      <c r="O2" s="6" t="s">
        <v>167</v>
      </c>
      <c r="P2" s="6" t="s">
        <v>168</v>
      </c>
      <c r="Q2" s="6" t="s">
        <v>169</v>
      </c>
      <c r="R2" s="6" t="s">
        <v>170</v>
      </c>
      <c r="S2" s="6" t="s">
        <v>171</v>
      </c>
      <c r="T2" s="6" t="s">
        <v>172</v>
      </c>
      <c r="U2" s="6" t="s">
        <v>173</v>
      </c>
      <c r="V2" s="6" t="s">
        <v>174</v>
      </c>
      <c r="W2" s="6" t="s">
        <v>175</v>
      </c>
      <c r="X2" s="6" t="s">
        <v>176</v>
      </c>
      <c r="Y2" s="6" t="s">
        <v>177</v>
      </c>
      <c r="Z2" s="6" t="s">
        <v>178</v>
      </c>
      <c r="AA2" s="6" t="s">
        <v>179</v>
      </c>
      <c r="AB2" s="6" t="s">
        <v>180</v>
      </c>
      <c r="AC2" s="6" t="s">
        <v>181</v>
      </c>
      <c r="AD2" s="6" t="s">
        <v>182</v>
      </c>
      <c r="AE2" s="6" t="s">
        <v>183</v>
      </c>
      <c r="AF2" s="6" t="s">
        <v>184</v>
      </c>
      <c r="AG2" s="6" t="s">
        <v>185</v>
      </c>
      <c r="AH2" s="6" t="s">
        <v>186</v>
      </c>
      <c r="AI2" s="6" t="s">
        <v>187</v>
      </c>
      <c r="AJ2" s="6" t="s">
        <v>188</v>
      </c>
      <c r="AK2" s="6" t="s">
        <v>189</v>
      </c>
      <c r="AL2" s="6" t="s">
        <v>190</v>
      </c>
      <c r="AM2" s="6" t="s">
        <v>191</v>
      </c>
      <c r="AN2" s="6" t="s">
        <v>192</v>
      </c>
      <c r="AO2" s="6" t="s">
        <v>193</v>
      </c>
      <c r="AP2" s="6" t="s">
        <v>194</v>
      </c>
      <c r="AQ2" s="6" t="s">
        <v>195</v>
      </c>
      <c r="AR2" s="6" t="s">
        <v>196</v>
      </c>
      <c r="AS2" s="6" t="s">
        <v>197</v>
      </c>
      <c r="AT2" s="6" t="s">
        <v>198</v>
      </c>
      <c r="AU2" s="6" t="s">
        <v>199</v>
      </c>
      <c r="AV2" s="6" t="s">
        <v>200</v>
      </c>
      <c r="AW2" s="6" t="s">
        <v>201</v>
      </c>
      <c r="AX2" s="6" t="s">
        <v>202</v>
      </c>
      <c r="AY2" s="6" t="s">
        <v>203</v>
      </c>
      <c r="AZ2" s="6" t="s">
        <v>204</v>
      </c>
      <c r="BA2" s="6" t="s">
        <v>205</v>
      </c>
    </row>
    <row r="3" spans="1:53" s="4" customFormat="1" x14ac:dyDescent="0.2">
      <c r="A3" s="6"/>
      <c r="B3" s="54"/>
      <c r="C3" s="54"/>
      <c r="D3" s="54"/>
      <c r="E3" s="54"/>
      <c r="F3" s="54"/>
      <c r="G3" s="54"/>
      <c r="H3" s="54"/>
      <c r="I3" s="54"/>
      <c r="J3" s="54"/>
      <c r="K3" s="54"/>
      <c r="L3" s="54"/>
      <c r="M3" s="54"/>
      <c r="N3" s="54"/>
      <c r="O3" s="54"/>
      <c r="P3" s="54"/>
      <c r="Q3" s="54"/>
      <c r="R3" s="54"/>
      <c r="S3" s="54"/>
      <c r="T3" s="54"/>
      <c r="U3" s="54"/>
      <c r="V3" s="54"/>
      <c r="W3" s="54"/>
      <c r="X3" s="54"/>
      <c r="Y3" s="54"/>
      <c r="Z3" s="54"/>
      <c r="AA3" s="54"/>
      <c r="AB3" s="54"/>
      <c r="AC3" s="54"/>
      <c r="AD3" s="54"/>
      <c r="AE3" s="54"/>
      <c r="AF3" s="54"/>
      <c r="AG3" s="54"/>
      <c r="AH3" s="54"/>
      <c r="AI3" s="54"/>
      <c r="AJ3" s="54"/>
      <c r="AK3" s="54"/>
      <c r="AL3" s="54"/>
      <c r="AM3" s="54"/>
      <c r="AN3" s="54"/>
      <c r="AO3" s="54"/>
      <c r="AP3" s="54"/>
      <c r="AQ3" s="54"/>
      <c r="AR3" s="54"/>
      <c r="AS3" s="54"/>
      <c r="AT3" s="54"/>
      <c r="AU3" s="54"/>
      <c r="AV3" s="54"/>
      <c r="AW3" s="54"/>
      <c r="AX3" s="54"/>
      <c r="AY3" s="54"/>
      <c r="AZ3" s="54"/>
      <c r="BA3" s="54"/>
    </row>
    <row r="4" spans="1:53" x14ac:dyDescent="0.2">
      <c r="A4" s="6"/>
      <c r="B4" s="54"/>
      <c r="C4" s="54"/>
      <c r="D4" s="54"/>
      <c r="E4" s="54"/>
      <c r="F4" s="54"/>
      <c r="G4" s="54"/>
      <c r="H4" s="54"/>
      <c r="I4" s="54"/>
      <c r="J4" s="54"/>
      <c r="K4" s="54"/>
      <c r="L4" s="54"/>
      <c r="M4" s="54"/>
      <c r="N4" s="54"/>
      <c r="O4" s="54"/>
      <c r="P4" s="54"/>
      <c r="Q4" s="54"/>
      <c r="R4" s="54"/>
      <c r="S4" s="54"/>
      <c r="T4" s="54"/>
      <c r="U4" s="54"/>
      <c r="V4" s="54"/>
      <c r="W4" s="54"/>
      <c r="X4" s="54"/>
      <c r="Y4" s="54"/>
      <c r="Z4" s="54"/>
      <c r="AA4" s="54"/>
      <c r="AB4" s="54"/>
      <c r="AC4" s="54"/>
      <c r="AD4" s="54"/>
      <c r="AE4" s="54"/>
      <c r="AF4" s="54"/>
      <c r="AG4" s="54"/>
      <c r="AH4" s="54"/>
      <c r="AI4" s="54"/>
      <c r="AJ4" s="54"/>
      <c r="AK4" s="54"/>
      <c r="AL4" s="54"/>
      <c r="AM4" s="54"/>
      <c r="AN4" s="54"/>
      <c r="AO4" s="54"/>
      <c r="AP4" s="54"/>
      <c r="AQ4" s="54"/>
      <c r="AR4" s="54"/>
      <c r="AS4" s="54"/>
      <c r="AT4" s="54"/>
      <c r="AU4" s="54"/>
      <c r="AV4" s="54"/>
      <c r="AW4" s="54"/>
      <c r="AX4" s="54"/>
      <c r="AY4" s="54"/>
      <c r="AZ4" s="54"/>
      <c r="BA4" s="54"/>
    </row>
    <row r="15" spans="1:53" x14ac:dyDescent="0.2">
      <c r="F15" s="5"/>
    </row>
  </sheetData>
  <phoneticPr fontId="2" type="noConversion"/>
  <pageMargins left="0.7" right="0.7" top="0.75" bottom="0.75" header="0.3" footer="0.3"/>
  <pageSetup orientation="portrait" r:id="rId1"/>
</worksheet>
</file>

<file path=xl/worksheets/sheet6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AB793D-71C1-4CA2-A5D0-D94D2FB81D42}">
  <sheetPr>
    <tabColor rgb="FFD9C6FE"/>
  </sheetPr>
  <dimension ref="A1:B3"/>
  <sheetViews>
    <sheetView workbookViewId="0">
      <selection activeCell="A2" sqref="A2"/>
    </sheetView>
  </sheetViews>
  <sheetFormatPr baseColWidth="10" defaultColWidth="9.1640625" defaultRowHeight="16" x14ac:dyDescent="0.2"/>
  <cols>
    <col min="1" max="1" width="16.83203125" style="1" customWidth="1"/>
    <col min="2" max="2" width="10.1640625" style="1" bestFit="1" customWidth="1"/>
    <col min="3" max="16384" width="9.1640625" style="1"/>
  </cols>
  <sheetData>
    <row r="1" spans="1:2" x14ac:dyDescent="0.2">
      <c r="A1" s="1" t="str">
        <f>_xlfn.CONCAT( "Table of Completions Pad Storage Capacity [",VLOOKUP("volume", Units!$A$2:$B$11, 2, FALSE),"]")</f>
        <v>Table of Completions Pad Storage Capacity [bbl]</v>
      </c>
    </row>
    <row r="2" spans="1:2" s="4" customFormat="1" x14ac:dyDescent="0.2">
      <c r="A2" s="6" t="s">
        <v>137</v>
      </c>
      <c r="B2" s="6" t="s">
        <v>45</v>
      </c>
    </row>
    <row r="3" spans="1:2" x14ac:dyDescent="0.2">
      <c r="A3" s="6"/>
      <c r="B3" s="54"/>
    </row>
  </sheetData>
  <pageMargins left="0.7" right="0.7" top="0.75" bottom="0.75" header="0.3" footer="0.3"/>
  <pageSetup orientation="portrait" r:id="rId1"/>
</worksheet>
</file>

<file path=xl/worksheets/sheet6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16C6A0-7BAD-498F-AAE7-F43EE79415DD}">
  <sheetPr>
    <tabColor rgb="FFD9C6FE"/>
  </sheetPr>
  <dimension ref="A1:B3"/>
  <sheetViews>
    <sheetView workbookViewId="0">
      <selection activeCell="A2" sqref="A2"/>
    </sheetView>
  </sheetViews>
  <sheetFormatPr baseColWidth="10" defaultColWidth="9.1640625" defaultRowHeight="16" x14ac:dyDescent="0.2"/>
  <cols>
    <col min="1" max="1" width="17.5" style="1" customWidth="1"/>
    <col min="2" max="16384" width="9.1640625" style="1"/>
  </cols>
  <sheetData>
    <row r="1" spans="1:2" x14ac:dyDescent="0.2">
      <c r="A1" s="1" t="str">
        <f>_xlfn.CONCAT( "Table of Pad Offloading Capacity [",VLOOKUP("volume", Units!$A$2:$B$11, 2, FALSE),"/", VLOOKUP("time", Units!$A$2:$B$11, 2, FALSE),"]")</f>
        <v>Table of Pad Offloading Capacity [bbl/day]</v>
      </c>
    </row>
    <row r="2" spans="1:2" s="4" customFormat="1" x14ac:dyDescent="0.2">
      <c r="A2" s="6" t="s">
        <v>137</v>
      </c>
      <c r="B2" s="6" t="s">
        <v>45</v>
      </c>
    </row>
    <row r="3" spans="1:2" s="4" customFormat="1" x14ac:dyDescent="0.2">
      <c r="A3" s="6"/>
      <c r="B3" s="54"/>
    </row>
  </sheetData>
  <pageMargins left="0.7" right="0.7" top="0.75" bottom="0.75" header="0.3" footer="0.3"/>
  <pageSetup orientation="portrait" r:id="rId1"/>
</worksheet>
</file>

<file path=xl/worksheets/sheet6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13C221-12DF-4609-BB39-C92B41E7288D}">
  <sheetPr>
    <tabColor rgb="FFD9C6FE"/>
  </sheetPr>
  <dimension ref="A1:B12"/>
  <sheetViews>
    <sheetView workbookViewId="0">
      <selection activeCell="A2" sqref="A2"/>
    </sheetView>
  </sheetViews>
  <sheetFormatPr baseColWidth="10" defaultColWidth="9.1640625" defaultRowHeight="16" x14ac:dyDescent="0.2"/>
  <cols>
    <col min="1" max="1" width="11" style="1" customWidth="1"/>
    <col min="2" max="2" width="10.1640625" style="1" bestFit="1" customWidth="1"/>
    <col min="3" max="16384" width="9.1640625" style="1"/>
  </cols>
  <sheetData>
    <row r="1" spans="1:2" x14ac:dyDescent="0.2">
      <c r="A1" s="1" t="str">
        <f>_xlfn.CONCAT( "Table of Node Capacity Capacity [",VLOOKUP("volume", Units!$A$2:$B$11, 2, FALSE),"/", VLOOKUP("time", Units!$A$2:$B$11, 2, FALSE),"]", " *absence of node or empty cell signifies no max capacity")</f>
        <v>Table of Node Capacity Capacity [bbl/day] *absence of node or empty cell signifies no max capacity</v>
      </c>
    </row>
    <row r="2" spans="1:2" s="4" customFormat="1" x14ac:dyDescent="0.2">
      <c r="A2" s="6" t="s">
        <v>206</v>
      </c>
      <c r="B2" s="6" t="s">
        <v>45</v>
      </c>
    </row>
    <row r="3" spans="1:2" x14ac:dyDescent="0.2">
      <c r="A3" s="6"/>
      <c r="B3" s="54"/>
    </row>
    <row r="4" spans="1:2" x14ac:dyDescent="0.2">
      <c r="A4" s="6"/>
      <c r="B4" s="54"/>
    </row>
    <row r="5" spans="1:2" x14ac:dyDescent="0.2">
      <c r="A5" s="6"/>
      <c r="B5" s="54"/>
    </row>
    <row r="6" spans="1:2" x14ac:dyDescent="0.2">
      <c r="A6" s="6"/>
      <c r="B6" s="54"/>
    </row>
    <row r="7" spans="1:2" x14ac:dyDescent="0.2">
      <c r="A7" s="6"/>
      <c r="B7" s="54"/>
    </row>
    <row r="8" spans="1:2" x14ac:dyDescent="0.2">
      <c r="A8" s="6"/>
      <c r="B8" s="54"/>
    </row>
    <row r="9" spans="1:2" x14ac:dyDescent="0.2">
      <c r="A9" s="6"/>
      <c r="B9" s="54"/>
    </row>
    <row r="10" spans="1:2" x14ac:dyDescent="0.2">
      <c r="A10" s="6"/>
      <c r="B10" s="54"/>
    </row>
    <row r="11" spans="1:2" x14ac:dyDescent="0.2">
      <c r="A11" s="6"/>
      <c r="B11" s="54"/>
    </row>
    <row r="12" spans="1:2" x14ac:dyDescent="0.2">
      <c r="A12" s="6"/>
      <c r="B12" s="54"/>
    </row>
  </sheetData>
  <pageMargins left="0.7" right="0.7" top="0.75" bottom="0.75" header="0.3" footer="0.3"/>
  <pageSetup orientation="portrait" r:id="rId1"/>
</worksheet>
</file>

<file path=xl/worksheets/sheet6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8F1661-765C-4FF3-9C8D-056B836A43E1}">
  <sheetPr>
    <tabColor rgb="FFD9C6FE"/>
  </sheetPr>
  <dimension ref="A1:BA9"/>
  <sheetViews>
    <sheetView showZeros="0" workbookViewId="0"/>
  </sheetViews>
  <sheetFormatPr baseColWidth="10" defaultColWidth="9.1640625" defaultRowHeight="16" x14ac:dyDescent="0.2"/>
  <cols>
    <col min="1" max="1" width="16.5" style="1" customWidth="1"/>
    <col min="2" max="2" width="15.5" style="1" bestFit="1" customWidth="1"/>
    <col min="3" max="3" width="9.83203125" style="1" bestFit="1" customWidth="1"/>
    <col min="4" max="16384" width="9.1640625" style="1"/>
  </cols>
  <sheetData>
    <row r="1" spans="1:53" x14ac:dyDescent="0.2">
      <c r="A1" s="1" t="str">
        <f>_xlfn.CONCAT( "Operating Capacity of Disposal Site [%]")</f>
        <v>Operating Capacity of Disposal Site [%]</v>
      </c>
    </row>
    <row r="2" spans="1:53" s="4" customFormat="1" x14ac:dyDescent="0.2">
      <c r="A2" s="6" t="s">
        <v>207</v>
      </c>
      <c r="B2" s="6" t="s">
        <v>154</v>
      </c>
      <c r="C2" s="6" t="s">
        <v>155</v>
      </c>
      <c r="D2" s="6" t="s">
        <v>156</v>
      </c>
      <c r="E2" s="6" t="s">
        <v>157</v>
      </c>
      <c r="F2" s="6" t="s">
        <v>158</v>
      </c>
      <c r="G2" s="6" t="s">
        <v>159</v>
      </c>
      <c r="H2" s="6" t="s">
        <v>160</v>
      </c>
      <c r="I2" s="6" t="s">
        <v>161</v>
      </c>
      <c r="J2" s="6" t="s">
        <v>162</v>
      </c>
      <c r="K2" s="6" t="s">
        <v>163</v>
      </c>
      <c r="L2" s="6" t="s">
        <v>164</v>
      </c>
      <c r="M2" s="6" t="s">
        <v>165</v>
      </c>
      <c r="N2" s="6" t="s">
        <v>166</v>
      </c>
      <c r="O2" s="6" t="s">
        <v>167</v>
      </c>
      <c r="P2" s="6" t="s">
        <v>168</v>
      </c>
      <c r="Q2" s="6" t="s">
        <v>169</v>
      </c>
      <c r="R2" s="6" t="s">
        <v>170</v>
      </c>
      <c r="S2" s="6" t="s">
        <v>171</v>
      </c>
      <c r="T2" s="6" t="s">
        <v>172</v>
      </c>
      <c r="U2" s="6" t="s">
        <v>173</v>
      </c>
      <c r="V2" s="6" t="s">
        <v>174</v>
      </c>
      <c r="W2" s="6" t="s">
        <v>175</v>
      </c>
      <c r="X2" s="6" t="s">
        <v>176</v>
      </c>
      <c r="Y2" s="6" t="s">
        <v>177</v>
      </c>
      <c r="Z2" s="6" t="s">
        <v>178</v>
      </c>
      <c r="AA2" s="6" t="s">
        <v>179</v>
      </c>
      <c r="AB2" s="6" t="s">
        <v>180</v>
      </c>
      <c r="AC2" s="6" t="s">
        <v>181</v>
      </c>
      <c r="AD2" s="6" t="s">
        <v>182</v>
      </c>
      <c r="AE2" s="6" t="s">
        <v>183</v>
      </c>
      <c r="AF2" s="6" t="s">
        <v>184</v>
      </c>
      <c r="AG2" s="6" t="s">
        <v>185</v>
      </c>
      <c r="AH2" s="6" t="s">
        <v>186</v>
      </c>
      <c r="AI2" s="6" t="s">
        <v>187</v>
      </c>
      <c r="AJ2" s="6" t="s">
        <v>188</v>
      </c>
      <c r="AK2" s="6" t="s">
        <v>189</v>
      </c>
      <c r="AL2" s="6" t="s">
        <v>190</v>
      </c>
      <c r="AM2" s="6" t="s">
        <v>191</v>
      </c>
      <c r="AN2" s="6" t="s">
        <v>192</v>
      </c>
      <c r="AO2" s="6" t="s">
        <v>193</v>
      </c>
      <c r="AP2" s="6" t="s">
        <v>194</v>
      </c>
      <c r="AQ2" s="6" t="s">
        <v>195</v>
      </c>
      <c r="AR2" s="6" t="s">
        <v>196</v>
      </c>
      <c r="AS2" s="6" t="s">
        <v>197</v>
      </c>
      <c r="AT2" s="6" t="s">
        <v>198</v>
      </c>
      <c r="AU2" s="6" t="s">
        <v>199</v>
      </c>
      <c r="AV2" s="6" t="s">
        <v>200</v>
      </c>
      <c r="AW2" s="6" t="s">
        <v>201</v>
      </c>
      <c r="AX2" s="6" t="s">
        <v>202</v>
      </c>
      <c r="AY2" s="6" t="s">
        <v>203</v>
      </c>
      <c r="AZ2" s="6" t="s">
        <v>204</v>
      </c>
      <c r="BA2" s="6" t="s">
        <v>205</v>
      </c>
    </row>
    <row r="3" spans="1:53" s="4" customFormat="1" x14ac:dyDescent="0.2">
      <c r="A3" s="6"/>
    </row>
    <row r="4" spans="1:53" s="4" customFormat="1" x14ac:dyDescent="0.2">
      <c r="A4" s="6"/>
    </row>
    <row r="8" spans="1:53" x14ac:dyDescent="0.2">
      <c r="B8" s="32"/>
    </row>
    <row r="9" spans="1:53" x14ac:dyDescent="0.2">
      <c r="D9" s="1" t="s">
        <v>226</v>
      </c>
      <c r="F9" s="5"/>
    </row>
  </sheetData>
  <pageMargins left="0.7" right="0.7" top="0.75" bottom="0.75" header="0.3" footer="0.3"/>
  <pageSetup orientation="portrait" r:id="rId1"/>
</worksheet>
</file>

<file path=xl/worksheets/sheet6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ED9A13-6613-4A4D-92BC-DD0B79B273AD}">
  <sheetPr>
    <tabColor theme="5" tint="0.79998168889431442"/>
  </sheetPr>
  <dimension ref="A1:B4"/>
  <sheetViews>
    <sheetView zoomScaleNormal="100" workbookViewId="0">
      <selection activeCell="A2" sqref="A2"/>
    </sheetView>
  </sheetViews>
  <sheetFormatPr baseColWidth="10" defaultColWidth="9.1640625" defaultRowHeight="16" x14ac:dyDescent="0.2"/>
  <cols>
    <col min="1" max="1" width="11.83203125" style="1" customWidth="1"/>
    <col min="2" max="16384" width="9.1640625" style="1"/>
  </cols>
  <sheetData>
    <row r="1" spans="1:2" x14ac:dyDescent="0.2">
      <c r="A1" s="1" t="str">
        <f>_xlfn.CONCAT( "Table of Disposal Operational Cost [",VLOOKUP("currency", Units!$A$2:$B$11, 2, FALSE),"/", VLOOKUP("volume", Units!$A$2:$B$11, 2, FALSE),"]")</f>
        <v>Table of Disposal Operational Cost [USD/bbl]</v>
      </c>
    </row>
    <row r="2" spans="1:2" s="4" customFormat="1" x14ac:dyDescent="0.2">
      <c r="A2" s="6" t="s">
        <v>207</v>
      </c>
      <c r="B2" s="6" t="s">
        <v>45</v>
      </c>
    </row>
    <row r="3" spans="1:2" s="4" customFormat="1" x14ac:dyDescent="0.2">
      <c r="A3" s="6"/>
    </row>
    <row r="4" spans="1:2" s="4" customFormat="1" x14ac:dyDescent="0.2">
      <c r="A4" s="6"/>
    </row>
  </sheetData>
  <phoneticPr fontId="2" type="noConversion"/>
  <pageMargins left="0.7" right="0.7" top="0.75" bottom="0.75" header="0.3" footer="0.3"/>
  <pageSetup orientation="portrait" r:id="rId1"/>
</worksheet>
</file>

<file path=xl/worksheets/sheet6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050C77-5C7B-4C97-8F2B-C60EA6AF1AED}">
  <sheetPr>
    <tabColor theme="5" tint="0.79998168889431442"/>
  </sheetPr>
  <dimension ref="A1:C12"/>
  <sheetViews>
    <sheetView workbookViewId="0">
      <selection activeCell="A2" sqref="A2"/>
    </sheetView>
  </sheetViews>
  <sheetFormatPr baseColWidth="10" defaultColWidth="9.1640625" defaultRowHeight="16" x14ac:dyDescent="0.2"/>
  <cols>
    <col min="1" max="1" width="15.5" style="1" customWidth="1"/>
    <col min="2" max="2" width="23.5" style="1" bestFit="1" customWidth="1"/>
    <col min="3" max="16384" width="9.1640625" style="1"/>
  </cols>
  <sheetData>
    <row r="1" spans="1:3" x14ac:dyDescent="0.2">
      <c r="A1" s="1" t="str">
        <f>_xlfn.CONCAT( "Table of Treatment Operational Cost [",VLOOKUP("currency", Units!$A$2:$B$11, 2, FALSE),"/", VLOOKUP("volume", Units!$A$2:$B$11, 2, FALSE),"]")</f>
        <v>Table of Treatment Operational Cost [USD/bbl]</v>
      </c>
    </row>
    <row r="2" spans="1:3" x14ac:dyDescent="0.2">
      <c r="A2" s="6" t="s">
        <v>146</v>
      </c>
      <c r="B2" s="6" t="s">
        <v>209</v>
      </c>
      <c r="C2" s="6" t="s">
        <v>45</v>
      </c>
    </row>
    <row r="3" spans="1:3" x14ac:dyDescent="0.2">
      <c r="A3" s="6"/>
      <c r="B3" s="6"/>
      <c r="C3" s="4"/>
    </row>
    <row r="4" spans="1:3" x14ac:dyDescent="0.2">
      <c r="A4" s="6"/>
      <c r="B4" s="6"/>
      <c r="C4" s="4"/>
    </row>
    <row r="5" spans="1:3" x14ac:dyDescent="0.2">
      <c r="A5" s="6"/>
      <c r="B5" s="6"/>
      <c r="C5" s="4"/>
    </row>
    <row r="6" spans="1:3" x14ac:dyDescent="0.2">
      <c r="A6" s="6"/>
      <c r="B6" s="6"/>
      <c r="C6" s="4"/>
    </row>
    <row r="7" spans="1:3" x14ac:dyDescent="0.2">
      <c r="A7" s="6"/>
      <c r="B7" s="6"/>
      <c r="C7" s="4"/>
    </row>
    <row r="8" spans="1:3" x14ac:dyDescent="0.2">
      <c r="A8" s="6"/>
      <c r="B8" s="6"/>
      <c r="C8" s="4"/>
    </row>
    <row r="9" spans="1:3" x14ac:dyDescent="0.2">
      <c r="A9" s="6"/>
      <c r="B9" s="6"/>
      <c r="C9" s="4"/>
    </row>
    <row r="10" spans="1:3" x14ac:dyDescent="0.2">
      <c r="A10" s="6"/>
      <c r="B10" s="6"/>
      <c r="C10" s="4"/>
    </row>
    <row r="11" spans="1:3" x14ac:dyDescent="0.2">
      <c r="A11" s="6"/>
      <c r="B11" s="6"/>
      <c r="C11" s="4"/>
    </row>
    <row r="12" spans="1:3" x14ac:dyDescent="0.2">
      <c r="A12" s="6"/>
      <c r="B12" s="6"/>
      <c r="C12" s="4"/>
    </row>
  </sheetData>
  <pageMargins left="0.7" right="0.7" top="0.75" bottom="0.75" header="0.3" footer="0.3"/>
  <pageSetup orientation="portrait" r:id="rId1"/>
</worksheet>
</file>

<file path=xl/worksheets/sheet6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35D225-B5AF-4E75-9547-7AC1A8034351}">
  <sheetPr>
    <tabColor theme="5" tint="0.79998168889431442"/>
  </sheetPr>
  <dimension ref="A1:B3"/>
  <sheetViews>
    <sheetView workbookViewId="0">
      <selection activeCell="A2" sqref="A2"/>
    </sheetView>
  </sheetViews>
  <sheetFormatPr baseColWidth="10" defaultColWidth="9.1640625" defaultRowHeight="16" x14ac:dyDescent="0.2"/>
  <cols>
    <col min="1" max="1" width="17.1640625" style="1" customWidth="1"/>
    <col min="2" max="16384" width="9.1640625" style="1"/>
  </cols>
  <sheetData>
    <row r="1" spans="1:2" x14ac:dyDescent="0.2">
      <c r="A1" s="1" t="str">
        <f>_xlfn.CONCAT( "Table of Reuse Operational Cost [",VLOOKUP("currency", Units!$A$2:$B$11, 2, FALSE),"/", VLOOKUP("volume", Units!$A$2:$B$11, 2, FALSE),"]")</f>
        <v>Table of Reuse Operational Cost [USD/bbl]</v>
      </c>
    </row>
    <row r="2" spans="1:2" s="4" customFormat="1" x14ac:dyDescent="0.2">
      <c r="A2" s="6" t="s">
        <v>137</v>
      </c>
      <c r="B2" s="6" t="s">
        <v>45</v>
      </c>
    </row>
    <row r="3" spans="1:2" s="4" customFormat="1" x14ac:dyDescent="0.2">
      <c r="A3" s="6"/>
    </row>
  </sheetData>
  <pageMargins left="0.7" right="0.7" top="0.75" bottom="0.75" header="0.3" footer="0.3"/>
  <pageSetup orientation="portrait" r:id="rId1"/>
</worksheet>
</file>

<file path=xl/worksheets/sheet6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E24AD9-42B2-417F-BF2D-D0F067DA599C}">
  <sheetPr>
    <tabColor theme="5" tint="0.79998168889431442"/>
  </sheetPr>
  <dimension ref="A1:U23"/>
  <sheetViews>
    <sheetView zoomScaleNormal="100" workbookViewId="0">
      <selection activeCell="A2" sqref="A2"/>
    </sheetView>
  </sheetViews>
  <sheetFormatPr baseColWidth="10" defaultColWidth="9.1640625" defaultRowHeight="16" x14ac:dyDescent="0.2"/>
  <cols>
    <col min="1" max="3" width="9.1640625" style="1"/>
    <col min="4" max="6" width="10.1640625" style="1" bestFit="1" customWidth="1"/>
    <col min="7" max="16384" width="9.1640625" style="1"/>
  </cols>
  <sheetData>
    <row r="1" spans="1:21" x14ac:dyDescent="0.2">
      <c r="A1" s="1" t="str">
        <f>_xlfn.CONCAT( "Table of Pipeline Operational Cost between Sites [",VLOOKUP("currency", Units!$A$2:$B$11, 2, FALSE),"/", VLOOKUP("volume", Units!$A$2:$B$11, 2, FALSE),"]")</f>
        <v>Table of Pipeline Operational Cost between Sites [USD/bbl]</v>
      </c>
    </row>
    <row r="2" spans="1:21" x14ac:dyDescent="0.2">
      <c r="A2" s="6" t="s">
        <v>206</v>
      </c>
      <c r="B2" s="6"/>
      <c r="C2" s="6"/>
      <c r="D2" s="6"/>
      <c r="E2" s="6"/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</row>
    <row r="3" spans="1:21" x14ac:dyDescent="0.2">
      <c r="A3" s="6"/>
      <c r="B3" s="4"/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</row>
    <row r="4" spans="1:21" x14ac:dyDescent="0.2">
      <c r="A4" s="6"/>
      <c r="B4" s="4"/>
      <c r="C4" s="4"/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</row>
    <row r="5" spans="1:21" x14ac:dyDescent="0.2">
      <c r="A5" s="6"/>
      <c r="B5" s="4"/>
      <c r="C5" s="4"/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</row>
    <row r="6" spans="1:21" x14ac:dyDescent="0.2">
      <c r="A6" s="6"/>
      <c r="B6" s="4"/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</row>
    <row r="7" spans="1:21" x14ac:dyDescent="0.2">
      <c r="A7" s="6"/>
      <c r="B7" s="4"/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</row>
    <row r="8" spans="1:21" x14ac:dyDescent="0.2">
      <c r="A8" s="6"/>
      <c r="B8" s="4"/>
      <c r="C8" s="4"/>
      <c r="D8" s="4"/>
      <c r="E8" s="4"/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</row>
    <row r="9" spans="1:21" x14ac:dyDescent="0.2">
      <c r="A9" s="6"/>
      <c r="B9" s="4"/>
      <c r="C9" s="4"/>
      <c r="D9" s="4"/>
      <c r="E9" s="4"/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</row>
    <row r="10" spans="1:21" x14ac:dyDescent="0.2">
      <c r="A10" s="6"/>
      <c r="B10" s="4"/>
      <c r="C10" s="4"/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</row>
    <row r="11" spans="1:21" x14ac:dyDescent="0.2">
      <c r="A11" s="6"/>
      <c r="B11" s="4"/>
      <c r="C11" s="4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</row>
    <row r="12" spans="1:21" x14ac:dyDescent="0.2">
      <c r="A12" s="6"/>
      <c r="B12" s="4"/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</row>
    <row r="13" spans="1:21" x14ac:dyDescent="0.2">
      <c r="A13" s="6"/>
      <c r="B13" s="4"/>
      <c r="C13" s="4"/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</row>
    <row r="14" spans="1:21" x14ac:dyDescent="0.2">
      <c r="A14" s="6"/>
      <c r="B14" s="4"/>
      <c r="C14" s="4"/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</row>
    <row r="15" spans="1:21" x14ac:dyDescent="0.2">
      <c r="A15" s="6"/>
      <c r="B15" s="4"/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</row>
    <row r="16" spans="1:21" x14ac:dyDescent="0.2">
      <c r="A16" s="6"/>
      <c r="B16" s="4"/>
      <c r="C16" s="4"/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</row>
    <row r="17" spans="1:21" x14ac:dyDescent="0.2">
      <c r="A17" s="6"/>
      <c r="B17" s="4"/>
      <c r="C17" s="4"/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</row>
    <row r="18" spans="1:21" x14ac:dyDescent="0.2">
      <c r="A18" s="6"/>
      <c r="B18" s="4"/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</row>
    <row r="19" spans="1:21" x14ac:dyDescent="0.2">
      <c r="A19" s="6"/>
      <c r="B19" s="4"/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</row>
    <row r="20" spans="1:21" x14ac:dyDescent="0.2">
      <c r="A20" s="6"/>
      <c r="B20" s="4"/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</row>
    <row r="21" spans="1:21" x14ac:dyDescent="0.2">
      <c r="A21" s="6"/>
      <c r="B21" s="4"/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</row>
    <row r="22" spans="1:21" x14ac:dyDescent="0.2">
      <c r="A22" s="6"/>
      <c r="B22" s="4"/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</row>
    <row r="23" spans="1:21" x14ac:dyDescent="0.2">
      <c r="A23" s="6"/>
      <c r="B23" s="4"/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</row>
  </sheetData>
  <phoneticPr fontId="2" type="noConversion"/>
  <pageMargins left="0.7" right="0.7" top="0.75" bottom="0.75" header="0.3" footer="0.3"/>
  <pageSetup orientation="portrait" r:id="rId1"/>
</worksheet>
</file>

<file path=xl/worksheets/sheet6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B9AF2E-9304-4DC1-ABFA-7D5DAA6BA0BC}">
  <sheetPr>
    <tabColor theme="5" tint="0.79998168889431442"/>
  </sheetPr>
  <dimension ref="A1:B4"/>
  <sheetViews>
    <sheetView workbookViewId="0">
      <selection activeCell="A2" sqref="A2"/>
    </sheetView>
  </sheetViews>
  <sheetFormatPr baseColWidth="10" defaultColWidth="9.1640625" defaultRowHeight="16" x14ac:dyDescent="0.2"/>
  <cols>
    <col min="1" max="1" width="19.1640625" style="1" customWidth="1"/>
    <col min="2" max="16384" width="9.1640625" style="1"/>
  </cols>
  <sheetData>
    <row r="1" spans="1:2" x14ac:dyDescent="0.2">
      <c r="A1" s="1" t="str">
        <f>_xlfn.CONCAT( "Table of External Water Souring Cost [",VLOOKUP("currency", Units!$A$2:$B$11, 2, FALSE),"/", VLOOKUP("volume", Units!$A$2:$B$11, 2, FALSE),"]")</f>
        <v>Table of External Water Souring Cost [USD/bbl]</v>
      </c>
    </row>
    <row r="2" spans="1:2" s="4" customFormat="1" x14ac:dyDescent="0.2">
      <c r="A2" s="6" t="s">
        <v>296</v>
      </c>
      <c r="B2" s="6" t="s">
        <v>45</v>
      </c>
    </row>
    <row r="3" spans="1:2" s="4" customFormat="1" x14ac:dyDescent="0.2">
      <c r="A3" s="6"/>
    </row>
    <row r="4" spans="1:2" x14ac:dyDescent="0.2">
      <c r="A4" s="6"/>
      <c r="B4" s="4"/>
    </row>
  </sheetData>
  <pageMargins left="0.7" right="0.7" top="0.75" bottom="0.75" header="0.3" footer="0.3"/>
  <pageSetup orientation="portrait" r:id="rId1"/>
</worksheet>
</file>

<file path=xl/worksheets/sheet7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585569-7889-4883-A327-3B12D4AB6358}">
  <sheetPr>
    <tabColor theme="5" tint="0.79998168889431442"/>
  </sheetPr>
  <dimension ref="A1:B9"/>
  <sheetViews>
    <sheetView workbookViewId="0">
      <selection activeCell="A2" sqref="A2"/>
    </sheetView>
  </sheetViews>
  <sheetFormatPr baseColWidth="10" defaultColWidth="9.1640625" defaultRowHeight="16" x14ac:dyDescent="0.2"/>
  <cols>
    <col min="1" max="16384" width="9.1640625" style="1"/>
  </cols>
  <sheetData>
    <row r="1" spans="1:2" x14ac:dyDescent="0.2">
      <c r="A1" s="1" t="str">
        <f>_xlfn.CONCAT( "Table of Trucking Hourly Cost [",VLOOKUP("currency", Units!$A$2:$B$11, 2, FALSE),"/", "hour","]")</f>
        <v>Table of Trucking Hourly Cost [USD/hour]</v>
      </c>
    </row>
    <row r="2" spans="1:2" x14ac:dyDescent="0.2">
      <c r="A2" s="6" t="s">
        <v>206</v>
      </c>
      <c r="B2" s="6" t="s">
        <v>45</v>
      </c>
    </row>
    <row r="3" spans="1:2" x14ac:dyDescent="0.2">
      <c r="A3" s="6"/>
      <c r="B3" s="4"/>
    </row>
    <row r="4" spans="1:2" x14ac:dyDescent="0.2">
      <c r="A4" s="6"/>
      <c r="B4" s="4"/>
    </row>
    <row r="5" spans="1:2" x14ac:dyDescent="0.2">
      <c r="A5" s="6"/>
      <c r="B5" s="4"/>
    </row>
    <row r="6" spans="1:2" x14ac:dyDescent="0.2">
      <c r="A6" s="6"/>
      <c r="B6" s="4"/>
    </row>
    <row r="7" spans="1:2" x14ac:dyDescent="0.2">
      <c r="A7" s="6"/>
      <c r="B7" s="4"/>
    </row>
    <row r="8" spans="1:2" x14ac:dyDescent="0.2">
      <c r="A8" s="6"/>
      <c r="B8" s="4"/>
    </row>
    <row r="9" spans="1:2" x14ac:dyDescent="0.2">
      <c r="A9" s="6"/>
      <c r="B9" s="4"/>
    </row>
  </sheetData>
  <phoneticPr fontId="2" type="noConversion"/>
  <pageMargins left="0.7" right="0.7" top="0.75" bottom="0.75" header="0.3" footer="0.3"/>
  <pageSetup orientation="portrait" r:id="rId1"/>
</worksheet>
</file>

<file path=xl/worksheets/sheet7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257926-ED56-4D32-9A5B-F7129B221F36}">
  <sheetPr>
    <tabColor theme="5" tint="0.79998168889431442"/>
  </sheetPr>
  <dimension ref="A1:C7"/>
  <sheetViews>
    <sheetView workbookViewId="0"/>
  </sheetViews>
  <sheetFormatPr baseColWidth="10" defaultColWidth="9.1640625" defaultRowHeight="16" x14ac:dyDescent="0.2"/>
  <cols>
    <col min="1" max="16384" width="9.1640625" style="1"/>
  </cols>
  <sheetData>
    <row r="1" spans="1:3" x14ac:dyDescent="0.2">
      <c r="A1" s="1" t="s">
        <v>208</v>
      </c>
    </row>
    <row r="2" spans="1:3" x14ac:dyDescent="0.2">
      <c r="A2" s="5" t="s">
        <v>206</v>
      </c>
      <c r="B2" s="6"/>
      <c r="C2" s="6"/>
    </row>
    <row r="3" spans="1:3" x14ac:dyDescent="0.2">
      <c r="A3" s="6"/>
      <c r="B3" s="4"/>
      <c r="C3" s="4"/>
    </row>
    <row r="4" spans="1:3" x14ac:dyDescent="0.2">
      <c r="A4" s="6"/>
      <c r="B4" s="4"/>
      <c r="C4" s="4"/>
    </row>
    <row r="5" spans="1:3" x14ac:dyDescent="0.2">
      <c r="A5" s="6"/>
      <c r="B5" s="4"/>
      <c r="C5" s="4"/>
    </row>
    <row r="6" spans="1:3" x14ac:dyDescent="0.2">
      <c r="A6" s="6"/>
      <c r="B6" s="4"/>
      <c r="C6" s="4"/>
    </row>
    <row r="7" spans="1:3" x14ac:dyDescent="0.2">
      <c r="A7" s="6"/>
      <c r="B7" s="4"/>
      <c r="C7" s="4"/>
    </row>
  </sheetData>
  <pageMargins left="0.7" right="0.7" top="0.75" bottom="0.75" header="0.3" footer="0.3"/>
  <pageSetup orientation="portrait" r:id="rId1"/>
</worksheet>
</file>

<file path=xl/worksheets/sheet7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E5CD4B-C8DB-4A49-956D-761D45563331}">
  <sheetPr>
    <tabColor theme="5" tint="0.79998168889431442"/>
  </sheetPr>
  <dimension ref="A1:E4"/>
  <sheetViews>
    <sheetView workbookViewId="0">
      <selection activeCell="A2" sqref="A2"/>
    </sheetView>
  </sheetViews>
  <sheetFormatPr baseColWidth="10" defaultColWidth="9.1640625" defaultRowHeight="16" x14ac:dyDescent="0.2"/>
  <cols>
    <col min="1" max="1" width="12.6640625" style="1" customWidth="1"/>
    <col min="2" max="16384" width="9.1640625" style="1"/>
  </cols>
  <sheetData>
    <row r="1" spans="1:5" x14ac:dyDescent="0.2">
      <c r="A1" s="1" t="str">
        <f>_xlfn.CONCAT( "Table of Disposal Capacity Expansion Cost [",VLOOKUP("currency", Units!$A$2:$B$11, 2, FALSE),"/(", VLOOKUP("volume", Units!$A$2:$B$11, 2, FALSE),"/", VLOOKUP("time", Units!$A$2:$B$11, 2, FALSE),")]")</f>
        <v>Table of Disposal Capacity Expansion Cost [USD/(bbl/day)]</v>
      </c>
    </row>
    <row r="2" spans="1:5" s="4" customFormat="1" x14ac:dyDescent="0.2">
      <c r="A2" s="6" t="s">
        <v>207</v>
      </c>
      <c r="B2" s="6"/>
      <c r="C2" s="6"/>
      <c r="D2" s="6"/>
      <c r="E2" s="6"/>
    </row>
    <row r="3" spans="1:5" s="4" customFormat="1" x14ac:dyDescent="0.2">
      <c r="A3" s="6"/>
      <c r="B3" s="54"/>
      <c r="C3" s="54"/>
      <c r="D3" s="54"/>
      <c r="E3" s="54"/>
    </row>
    <row r="4" spans="1:5" s="4" customFormat="1" x14ac:dyDescent="0.2">
      <c r="A4" s="6"/>
      <c r="B4" s="54"/>
      <c r="C4" s="54"/>
      <c r="D4" s="54"/>
      <c r="E4" s="54"/>
    </row>
  </sheetData>
  <phoneticPr fontId="2" type="noConversion"/>
  <pageMargins left="0.7" right="0.7" top="0.75" bottom="0.75" header="0.3" footer="0.3"/>
  <pageSetup orientation="portrait" r:id="rId1"/>
</worksheet>
</file>

<file path=xl/worksheets/sheet7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2C988E-F277-4EB8-BD08-045871CAA4ED}">
  <sheetPr>
    <tabColor theme="5" tint="0.79998168889431442"/>
  </sheetPr>
  <dimension ref="A1:B6"/>
  <sheetViews>
    <sheetView workbookViewId="0">
      <selection activeCell="A2" sqref="A2"/>
    </sheetView>
  </sheetViews>
  <sheetFormatPr baseColWidth="10" defaultColWidth="9.1640625" defaultRowHeight="16" x14ac:dyDescent="0.2"/>
  <cols>
    <col min="1" max="1" width="19" style="1" customWidth="1"/>
    <col min="2" max="16384" width="9.1640625" style="1"/>
  </cols>
  <sheetData>
    <row r="1" spans="1:2" x14ac:dyDescent="0.2">
      <c r="A1" s="1" t="str">
        <f>_xlfn.CONCAT( "Table of Disposal Capacity Expansion Increments [",VLOOKUP("volume", Units!$A$2:$B$11, 2, FALSE),"/", VLOOKUP("time", Units!$A$2:$B$11, 2, FALSE),"]")</f>
        <v>Table of Disposal Capacity Expansion Increments [bbl/day]</v>
      </c>
    </row>
    <row r="2" spans="1:2" x14ac:dyDescent="0.2">
      <c r="A2" s="6" t="s">
        <v>211</v>
      </c>
      <c r="B2" s="6" t="s">
        <v>45</v>
      </c>
    </row>
    <row r="3" spans="1:2" x14ac:dyDescent="0.2">
      <c r="A3" s="6"/>
      <c r="B3" s="54"/>
    </row>
    <row r="4" spans="1:2" x14ac:dyDescent="0.2">
      <c r="A4" s="6"/>
      <c r="B4" s="61"/>
    </row>
    <row r="5" spans="1:2" x14ac:dyDescent="0.2">
      <c r="A5" s="6"/>
      <c r="B5" s="61"/>
    </row>
    <row r="6" spans="1:2" x14ac:dyDescent="0.2">
      <c r="A6" s="6"/>
      <c r="B6" s="61"/>
    </row>
  </sheetData>
  <pageMargins left="0.7" right="0.7" top="0.75" bottom="0.75" header="0.3" footer="0.3"/>
  <pageSetup orientation="portrait" r:id="rId1"/>
</worksheet>
</file>

<file path=xl/worksheets/sheet7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4AC655-401B-435E-9F3E-B4AFCEDA07DB}">
  <sheetPr>
    <tabColor theme="5" tint="0.79998168889431442"/>
  </sheetPr>
  <dimension ref="A1:E5"/>
  <sheetViews>
    <sheetView workbookViewId="0">
      <selection activeCell="A2" sqref="A2"/>
    </sheetView>
  </sheetViews>
  <sheetFormatPr baseColWidth="10" defaultColWidth="9.1640625" defaultRowHeight="16" x14ac:dyDescent="0.2"/>
  <cols>
    <col min="1" max="1" width="13.1640625" style="1" customWidth="1"/>
    <col min="2" max="16384" width="9.1640625" style="1"/>
  </cols>
  <sheetData>
    <row r="1" spans="1:5" x14ac:dyDescent="0.2">
      <c r="A1" s="1" t="str">
        <f>_xlfn.CONCAT( "Table of Storage Capacity Expansion Cost [",VLOOKUP("currency", Units!$A$2:$B$11, 2, FALSE),"/", VLOOKUP("volume", Units!$A$2:$B$11, 2, FALSE),"]")</f>
        <v>Table of Storage Capacity Expansion Cost [USD/bbl]</v>
      </c>
    </row>
    <row r="2" spans="1:5" s="4" customFormat="1" x14ac:dyDescent="0.2">
      <c r="A2" s="6" t="s">
        <v>148</v>
      </c>
      <c r="B2" s="6"/>
      <c r="C2" s="6"/>
      <c r="D2" s="6"/>
      <c r="E2" s="6"/>
    </row>
    <row r="3" spans="1:5" x14ac:dyDescent="0.2">
      <c r="A3" s="6"/>
      <c r="B3" s="54"/>
      <c r="C3" s="54"/>
      <c r="D3" s="54"/>
      <c r="E3" s="54"/>
    </row>
    <row r="4" spans="1:5" x14ac:dyDescent="0.2">
      <c r="A4" s="6"/>
      <c r="B4" s="54"/>
      <c r="C4" s="54"/>
      <c r="D4" s="54"/>
      <c r="E4" s="54"/>
    </row>
    <row r="5" spans="1:5" x14ac:dyDescent="0.2">
      <c r="A5" s="6"/>
      <c r="B5" s="54"/>
      <c r="C5" s="54"/>
      <c r="D5" s="54"/>
      <c r="E5" s="54"/>
    </row>
  </sheetData>
  <pageMargins left="0.7" right="0.7" top="0.75" bottom="0.75" header="0.3" footer="0.3"/>
  <pageSetup orientation="portrait" r:id="rId1"/>
</worksheet>
</file>

<file path=xl/worksheets/sheet7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F26805-7F3D-4935-8D0C-80B2E9E9F409}">
  <sheetPr>
    <tabColor theme="5" tint="0.79998168889431442"/>
  </sheetPr>
  <dimension ref="A1:B6"/>
  <sheetViews>
    <sheetView workbookViewId="0">
      <selection activeCell="A2" sqref="A2"/>
    </sheetView>
  </sheetViews>
  <sheetFormatPr baseColWidth="10" defaultColWidth="9.1640625" defaultRowHeight="16" x14ac:dyDescent="0.2"/>
  <cols>
    <col min="1" max="1" width="18.1640625" style="1" customWidth="1"/>
    <col min="2" max="16384" width="9.1640625" style="1"/>
  </cols>
  <sheetData>
    <row r="1" spans="1:2" x14ac:dyDescent="0.2">
      <c r="A1" s="1" t="str">
        <f>_xlfn.CONCAT( "Table of Storage Capacity Expansion Increments [",VLOOKUP("volume", Units!$A$2:$B$11, 2, FALSE),"]")</f>
        <v>Table of Storage Capacity Expansion Increments [bbl]</v>
      </c>
    </row>
    <row r="2" spans="1:2" x14ac:dyDescent="0.2">
      <c r="A2" s="6" t="s">
        <v>212</v>
      </c>
      <c r="B2" s="6" t="s">
        <v>45</v>
      </c>
    </row>
    <row r="3" spans="1:2" x14ac:dyDescent="0.2">
      <c r="A3" s="6"/>
      <c r="B3" s="54"/>
    </row>
    <row r="4" spans="1:2" x14ac:dyDescent="0.2">
      <c r="A4" s="6"/>
      <c r="B4" s="54"/>
    </row>
    <row r="5" spans="1:2" x14ac:dyDescent="0.2">
      <c r="A5" s="6"/>
      <c r="B5" s="54"/>
    </row>
    <row r="6" spans="1:2" x14ac:dyDescent="0.2">
      <c r="A6" s="6"/>
      <c r="B6" s="54"/>
    </row>
  </sheetData>
  <pageMargins left="0.7" right="0.7" top="0.75" bottom="0.75" header="0.3" footer="0.3"/>
  <pageSetup orientation="portrait" r:id="rId1"/>
</worksheet>
</file>

<file path=xl/worksheets/sheet7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6D3944-A6F1-468B-A756-A99C077811C6}">
  <sheetPr>
    <tabColor theme="5" tint="0.79998168889431442"/>
  </sheetPr>
  <dimension ref="A1:F12"/>
  <sheetViews>
    <sheetView zoomScaleNormal="100" workbookViewId="0">
      <selection activeCell="A2" sqref="A2"/>
    </sheetView>
  </sheetViews>
  <sheetFormatPr baseColWidth="10" defaultColWidth="9.1640625" defaultRowHeight="16" x14ac:dyDescent="0.2"/>
  <cols>
    <col min="1" max="1" width="16.1640625" style="1" customWidth="1"/>
    <col min="2" max="2" width="23.5" style="1" bestFit="1" customWidth="1"/>
    <col min="3" max="16384" width="9.1640625" style="1"/>
  </cols>
  <sheetData>
    <row r="1" spans="1:6" x14ac:dyDescent="0.2">
      <c r="A1" s="1" t="str">
        <f>_xlfn.CONCAT( "Table of Treatment Capacity Expansion Cost [",VLOOKUP("currency", Units!$A$2:$B$11, 2, FALSE),"/(", VLOOKUP("volume", Units!$A$2:$B$11, 2, FALSE),"/", VLOOKUP("time", Units!$A$2:$B$11, 2, FALSE),")]")</f>
        <v>Table of Treatment Capacity Expansion Cost [USD/(bbl/day)]</v>
      </c>
    </row>
    <row r="2" spans="1:6" x14ac:dyDescent="0.2">
      <c r="A2" s="6" t="s">
        <v>146</v>
      </c>
      <c r="B2" s="6" t="s">
        <v>209</v>
      </c>
      <c r="C2" s="6"/>
      <c r="D2" s="6"/>
      <c r="E2" s="6"/>
      <c r="F2" s="6"/>
    </row>
    <row r="3" spans="1:6" x14ac:dyDescent="0.2">
      <c r="A3" s="6"/>
      <c r="B3" s="6"/>
      <c r="C3" s="54"/>
      <c r="D3" s="54"/>
      <c r="E3" s="54"/>
      <c r="F3" s="54"/>
    </row>
    <row r="4" spans="1:6" x14ac:dyDescent="0.2">
      <c r="A4" s="6"/>
      <c r="B4" s="6"/>
      <c r="C4" s="54"/>
      <c r="D4" s="54"/>
      <c r="E4" s="54"/>
      <c r="F4" s="54"/>
    </row>
    <row r="5" spans="1:6" x14ac:dyDescent="0.2">
      <c r="A5" s="6"/>
      <c r="B5" s="6"/>
      <c r="C5" s="54"/>
      <c r="D5" s="54"/>
      <c r="E5" s="54"/>
      <c r="F5" s="54"/>
    </row>
    <row r="6" spans="1:6" x14ac:dyDescent="0.2">
      <c r="A6" s="6"/>
      <c r="B6" s="6"/>
      <c r="C6" s="54"/>
      <c r="D6" s="54"/>
      <c r="E6" s="54"/>
      <c r="F6" s="54"/>
    </row>
    <row r="7" spans="1:6" x14ac:dyDescent="0.2">
      <c r="A7" s="6"/>
      <c r="B7" s="6"/>
      <c r="C7" s="54"/>
      <c r="D7" s="54"/>
      <c r="E7" s="54"/>
      <c r="F7" s="54"/>
    </row>
    <row r="8" spans="1:6" x14ac:dyDescent="0.2">
      <c r="A8" s="6"/>
      <c r="B8" s="6"/>
      <c r="C8" s="54"/>
      <c r="D8" s="54"/>
      <c r="E8" s="54"/>
      <c r="F8" s="54"/>
    </row>
    <row r="9" spans="1:6" x14ac:dyDescent="0.2">
      <c r="A9" s="6"/>
      <c r="B9" s="6"/>
      <c r="C9" s="54"/>
      <c r="D9" s="54"/>
      <c r="E9" s="54"/>
      <c r="F9" s="54"/>
    </row>
    <row r="10" spans="1:6" x14ac:dyDescent="0.2">
      <c r="A10" s="6"/>
      <c r="B10" s="6"/>
      <c r="C10" s="54"/>
      <c r="D10" s="54"/>
      <c r="E10" s="54"/>
      <c r="F10" s="54"/>
    </row>
    <row r="11" spans="1:6" x14ac:dyDescent="0.2">
      <c r="A11" s="6"/>
      <c r="B11" s="6"/>
      <c r="C11" s="54"/>
      <c r="D11" s="54"/>
      <c r="E11" s="54"/>
      <c r="F11" s="54"/>
    </row>
    <row r="12" spans="1:6" x14ac:dyDescent="0.2">
      <c r="A12" s="6"/>
      <c r="B12" s="6"/>
      <c r="C12" s="54"/>
      <c r="D12" s="54"/>
      <c r="E12" s="54"/>
      <c r="F12" s="54"/>
    </row>
  </sheetData>
  <pageMargins left="0.7" right="0.7" top="0.75" bottom="0.75" header="0.3" footer="0.3"/>
  <pageSetup orientation="portrait" r:id="rId1"/>
</worksheet>
</file>

<file path=xl/worksheets/sheet7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6DB070-53D7-4763-B1D6-04233A007F0E}">
  <sheetPr>
    <tabColor theme="5" tint="0.79998168889431442"/>
  </sheetPr>
  <dimension ref="A1:E10"/>
  <sheetViews>
    <sheetView workbookViewId="0">
      <selection activeCell="A2" sqref="A2"/>
    </sheetView>
  </sheetViews>
  <sheetFormatPr baseColWidth="10" defaultColWidth="9.1640625" defaultRowHeight="16" x14ac:dyDescent="0.2"/>
  <cols>
    <col min="1" max="1" width="21.5" style="1" customWidth="1"/>
    <col min="2" max="2" width="9.1640625" style="1"/>
    <col min="3" max="3" width="14.5" style="1" bestFit="1" customWidth="1"/>
    <col min="4" max="16384" width="9.1640625" style="1"/>
  </cols>
  <sheetData>
    <row r="1" spans="1:5" x14ac:dyDescent="0.2">
      <c r="A1" s="1" t="str">
        <f>_xlfn.CONCAT( "Table of Treatment Capacity Expansion Increments [",VLOOKUP("volume", Units!$A$2:$B$11, 2, FALSE),"/", VLOOKUP("time", Units!$A$2:$B$11, 2, FALSE),"]")</f>
        <v>Table of Treatment Capacity Expansion Increments [bbl/day]</v>
      </c>
    </row>
    <row r="2" spans="1:5" x14ac:dyDescent="0.2">
      <c r="A2" s="6" t="s">
        <v>213</v>
      </c>
      <c r="B2" s="6"/>
      <c r="C2" s="6"/>
      <c r="D2" s="6"/>
      <c r="E2" s="6"/>
    </row>
    <row r="3" spans="1:5" x14ac:dyDescent="0.2">
      <c r="A3" s="6"/>
      <c r="B3" s="54"/>
      <c r="C3" s="54"/>
      <c r="D3" s="54"/>
      <c r="E3" s="54"/>
    </row>
    <row r="4" spans="1:5" x14ac:dyDescent="0.2">
      <c r="A4" s="6"/>
      <c r="B4" s="54"/>
      <c r="C4" s="54"/>
      <c r="D4" s="54"/>
      <c r="E4" s="54"/>
    </row>
    <row r="5" spans="1:5" x14ac:dyDescent="0.2">
      <c r="A5" s="6"/>
      <c r="B5" s="54"/>
      <c r="C5" s="54"/>
      <c r="D5" s="54"/>
      <c r="E5" s="54"/>
    </row>
    <row r="6" spans="1:5" x14ac:dyDescent="0.2">
      <c r="A6" s="6"/>
      <c r="B6" s="54"/>
      <c r="C6" s="54"/>
      <c r="D6" s="54"/>
      <c r="E6" s="54"/>
    </row>
    <row r="7" spans="1:5" x14ac:dyDescent="0.2">
      <c r="A7" s="6"/>
      <c r="B7" s="54"/>
      <c r="C7" s="54"/>
      <c r="D7" s="54"/>
      <c r="E7" s="54"/>
    </row>
    <row r="9" spans="1:5" x14ac:dyDescent="0.2">
      <c r="C9" s="52"/>
    </row>
    <row r="10" spans="1:5" x14ac:dyDescent="0.2">
      <c r="C10" s="52"/>
    </row>
  </sheetData>
  <pageMargins left="0.7" right="0.7" top="0.75" bottom="0.75" header="0.3" footer="0.3"/>
  <pageSetup orientation="portrait" r:id="rId1"/>
</worksheet>
</file>

<file path=xl/worksheets/sheet7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902C13-E391-4A34-8851-63FF84EE5034}">
  <sheetPr>
    <tabColor theme="5" tint="0.79998168889431442"/>
  </sheetPr>
  <dimension ref="A1:B3"/>
  <sheetViews>
    <sheetView workbookViewId="0">
      <selection activeCell="A2" sqref="A2"/>
    </sheetView>
  </sheetViews>
  <sheetFormatPr baseColWidth="10" defaultColWidth="9.1640625" defaultRowHeight="16" x14ac:dyDescent="0.2"/>
  <cols>
    <col min="1" max="1" width="33.1640625" style="1" bestFit="1" customWidth="1"/>
    <col min="2" max="2" width="9.1640625" style="1" customWidth="1"/>
    <col min="3" max="16384" width="9.1640625" style="1"/>
  </cols>
  <sheetData>
    <row r="1" spans="1:2" ht="17" thickBot="1" x14ac:dyDescent="0.25">
      <c r="A1" s="1" t="str">
        <f>_xlfn.CONCAT( "Pipeline Expansion Cost [",VLOOKUP("currency", Units!$A$2:$B$11, 2, FALSE),"/(", VLOOKUP("diameter", Units!$A$2:$B$11, 2, FALSE),"-", VLOOKUP("distance", Units!$A$2:$B$11, 2, FALSE),")]")</f>
        <v>Pipeline Expansion Cost [USD/(inch-mile)]</v>
      </c>
    </row>
    <row r="2" spans="1:2" x14ac:dyDescent="0.2">
      <c r="A2" s="3" t="s">
        <v>44</v>
      </c>
      <c r="B2" s="20" t="s">
        <v>216</v>
      </c>
    </row>
    <row r="3" spans="1:2" ht="17" thickBot="1" x14ac:dyDescent="0.25">
      <c r="A3" s="22" t="s">
        <v>217</v>
      </c>
      <c r="B3" s="26">
        <v>300000</v>
      </c>
    </row>
  </sheetData>
  <pageMargins left="0.7" right="0.7" top="0.75" bottom="0.75" header="0.3" footer="0.3"/>
</worksheet>
</file>

<file path=xl/worksheets/sheet7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A1CA9B-7923-4D65-AAFB-3C314AFCE483}">
  <sheetPr>
    <tabColor theme="5" tint="0.79998168889431442"/>
  </sheetPr>
  <dimension ref="A1:U23"/>
  <sheetViews>
    <sheetView zoomScaleNormal="100" workbookViewId="0">
      <pane ySplit="1" topLeftCell="A2" activePane="bottomLeft" state="frozen"/>
      <selection activeCell="A5" sqref="A5"/>
      <selection pane="bottomLeft" activeCell="A2" sqref="A2"/>
    </sheetView>
  </sheetViews>
  <sheetFormatPr baseColWidth="10" defaultColWidth="9.1640625" defaultRowHeight="16" x14ac:dyDescent="0.2"/>
  <cols>
    <col min="1" max="16384" width="9.1640625" style="1"/>
  </cols>
  <sheetData>
    <row r="1" spans="1:21" x14ac:dyDescent="0.2">
      <c r="A1" s="1" t="str">
        <f>_xlfn.CONCAT( "Table of Pipeline Expansion Distances [",VLOOKUP("distance", Units!$A$2:$B$11, 2, FALSE),"]")</f>
        <v>Table of Pipeline Expansion Distances [mile]</v>
      </c>
    </row>
    <row r="2" spans="1:21" x14ac:dyDescent="0.2">
      <c r="A2" s="6" t="s">
        <v>206</v>
      </c>
      <c r="B2" s="6"/>
      <c r="C2" s="6"/>
      <c r="D2" s="6"/>
      <c r="E2" s="6"/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</row>
    <row r="3" spans="1:21" x14ac:dyDescent="0.2">
      <c r="A3" s="6"/>
      <c r="B3" s="4"/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</row>
    <row r="4" spans="1:21" x14ac:dyDescent="0.2">
      <c r="A4" s="6"/>
      <c r="B4" s="4"/>
      <c r="C4" s="4"/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</row>
    <row r="5" spans="1:21" x14ac:dyDescent="0.2">
      <c r="A5" s="6"/>
      <c r="B5" s="4"/>
      <c r="C5" s="4"/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</row>
    <row r="6" spans="1:21" x14ac:dyDescent="0.2">
      <c r="A6" s="6"/>
      <c r="B6" s="4"/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</row>
    <row r="7" spans="1:21" x14ac:dyDescent="0.2">
      <c r="A7" s="6"/>
      <c r="B7" s="4"/>
      <c r="C7" s="4"/>
      <c r="D7" s="4"/>
      <c r="E7" s="4"/>
      <c r="F7" s="4"/>
      <c r="G7" s="4"/>
      <c r="H7" s="4"/>
      <c r="I7" s="4"/>
      <c r="J7" s="4"/>
      <c r="K7" s="6"/>
      <c r="L7" s="6"/>
      <c r="M7" s="4"/>
      <c r="N7" s="4"/>
      <c r="O7" s="4"/>
      <c r="P7" s="4"/>
      <c r="Q7" s="4"/>
      <c r="R7" s="4"/>
      <c r="S7" s="4"/>
      <c r="T7" s="4"/>
      <c r="U7" s="6"/>
    </row>
    <row r="8" spans="1:21" x14ac:dyDescent="0.2">
      <c r="A8" s="6"/>
      <c r="B8" s="59"/>
      <c r="C8" s="59"/>
      <c r="D8" s="4"/>
      <c r="E8" s="4"/>
      <c r="F8" s="4"/>
      <c r="G8" s="4"/>
      <c r="H8" s="4"/>
      <c r="I8" s="4"/>
      <c r="J8" s="4"/>
      <c r="K8" s="59"/>
      <c r="L8" s="4"/>
      <c r="M8" s="4"/>
      <c r="N8" s="4"/>
      <c r="O8" s="4"/>
      <c r="P8" s="4"/>
      <c r="Q8" s="4"/>
      <c r="R8" s="4"/>
      <c r="S8" s="4"/>
      <c r="T8" s="4"/>
      <c r="U8" s="4"/>
    </row>
    <row r="9" spans="1:21" x14ac:dyDescent="0.2">
      <c r="A9" s="6"/>
      <c r="B9" s="59"/>
      <c r="C9" s="59"/>
      <c r="D9" s="4"/>
      <c r="E9" s="4"/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</row>
    <row r="10" spans="1:21" x14ac:dyDescent="0.2">
      <c r="A10" s="6"/>
      <c r="B10" s="4"/>
      <c r="C10" s="4"/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</row>
    <row r="11" spans="1:21" x14ac:dyDescent="0.2">
      <c r="A11" s="6"/>
      <c r="B11" s="4"/>
      <c r="C11" s="4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</row>
    <row r="12" spans="1:21" x14ac:dyDescent="0.2">
      <c r="A12" s="6"/>
      <c r="B12" s="4"/>
      <c r="C12" s="59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</row>
    <row r="13" spans="1:21" x14ac:dyDescent="0.2">
      <c r="A13" s="6"/>
      <c r="B13" s="4"/>
      <c r="C13" s="4"/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</row>
    <row r="14" spans="1:21" x14ac:dyDescent="0.2">
      <c r="A14" s="6"/>
      <c r="B14" s="4"/>
      <c r="C14" s="4"/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</row>
    <row r="15" spans="1:21" x14ac:dyDescent="0.2">
      <c r="A15" s="6"/>
      <c r="B15" s="4"/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</row>
    <row r="16" spans="1:21" x14ac:dyDescent="0.2">
      <c r="A16" s="6"/>
      <c r="B16" s="4"/>
      <c r="C16" s="4"/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</row>
    <row r="17" spans="1:21" x14ac:dyDescent="0.2">
      <c r="A17" s="6"/>
      <c r="B17" s="4"/>
      <c r="C17" s="4"/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</row>
    <row r="18" spans="1:21" x14ac:dyDescent="0.2">
      <c r="A18" s="6"/>
      <c r="B18" s="4"/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</row>
    <row r="19" spans="1:21" x14ac:dyDescent="0.2">
      <c r="A19" s="6"/>
      <c r="B19" s="4"/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</row>
    <row r="20" spans="1:21" x14ac:dyDescent="0.2">
      <c r="A20" s="6"/>
      <c r="B20" s="4"/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</row>
    <row r="21" spans="1:21" x14ac:dyDescent="0.2">
      <c r="A21" s="6"/>
      <c r="B21" s="4"/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</row>
    <row r="22" spans="1:21" x14ac:dyDescent="0.2">
      <c r="A22" s="6"/>
      <c r="B22" s="4"/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</row>
    <row r="23" spans="1:21" x14ac:dyDescent="0.2">
      <c r="A23" s="6"/>
      <c r="B23" s="4"/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</row>
  </sheetData>
  <pageMargins left="0.7" right="0.7" top="0.75" bottom="0.75" header="0.3" footer="0.3"/>
</worksheet>
</file>

<file path=xl/worksheets/sheet8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D7B182-CFB4-4537-B5F7-69962DD30DA1}">
  <sheetPr>
    <tabColor theme="5" tint="0.79998168889431442"/>
  </sheetPr>
  <dimension ref="A1:G4"/>
  <sheetViews>
    <sheetView workbookViewId="0">
      <selection activeCell="A2" sqref="A2"/>
    </sheetView>
  </sheetViews>
  <sheetFormatPr baseColWidth="10" defaultColWidth="9.1640625" defaultRowHeight="16" x14ac:dyDescent="0.2"/>
  <cols>
    <col min="1" max="16384" width="9.1640625" style="1"/>
  </cols>
  <sheetData>
    <row r="1" spans="1:7" x14ac:dyDescent="0.2">
      <c r="A1" s="1" t="str">
        <f>_xlfn.CONCAT( "Table of Pipeline Capacity Expansion Costs [",VLOOKUP("currency", Units!$A$2:$B$11, 2, FALSE),"/(", VLOOKUP("volume", Units!$A$2:$B$11, 2, FALSE),"/", VLOOKUP("time", Units!$A$2:$B$11, 2, FALSE),")]")</f>
        <v>Table of Pipeline Capacity Expansion Costs [USD/(bbl/day)]</v>
      </c>
    </row>
    <row r="2" spans="1:7" x14ac:dyDescent="0.2">
      <c r="A2" s="6" t="s">
        <v>206</v>
      </c>
      <c r="B2" s="6" t="s">
        <v>206</v>
      </c>
      <c r="C2" s="6"/>
      <c r="D2" s="6"/>
      <c r="E2" s="6"/>
      <c r="F2" s="6"/>
      <c r="G2" s="6"/>
    </row>
    <row r="3" spans="1:7" x14ac:dyDescent="0.2">
      <c r="A3" s="6"/>
      <c r="B3" s="60"/>
      <c r="C3" s="4"/>
      <c r="D3" s="4"/>
      <c r="E3" s="4"/>
      <c r="F3" s="4"/>
      <c r="G3" s="4"/>
    </row>
    <row r="4" spans="1:7" x14ac:dyDescent="0.2">
      <c r="A4" s="6"/>
      <c r="B4" s="60"/>
      <c r="C4" s="4"/>
      <c r="D4" s="4"/>
      <c r="E4" s="4"/>
      <c r="F4" s="4"/>
      <c r="G4" s="4"/>
    </row>
  </sheetData>
  <pageMargins left="0.7" right="0.7" top="0.75" bottom="0.75" header="0.3" footer="0.3"/>
  <pageSetup orientation="portrait" r:id="rId1"/>
</worksheet>
</file>

<file path=xl/worksheets/sheet8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BBCD48-6980-4EA6-BF3E-79D1C64EA04C}">
  <sheetPr>
    <tabColor theme="5" tint="0.79998168889431442"/>
  </sheetPr>
  <dimension ref="A1:B7"/>
  <sheetViews>
    <sheetView topLeftCell="A2" workbookViewId="0">
      <selection activeCell="A2" sqref="A2"/>
    </sheetView>
  </sheetViews>
  <sheetFormatPr baseColWidth="10" defaultColWidth="9.1640625" defaultRowHeight="16" x14ac:dyDescent="0.2"/>
  <cols>
    <col min="1" max="1" width="19.1640625" style="1" customWidth="1"/>
    <col min="2" max="16384" width="9.1640625" style="1"/>
  </cols>
  <sheetData>
    <row r="1" spans="1:2" x14ac:dyDescent="0.2">
      <c r="A1" s="1" t="e">
        <f>_xlfn.CONCAT( "Table of Pipeline Capacity Expansion Increments [",VLOOKUP("volume",#REF!, 2, FALSE),"/", VLOOKUP("time",#REF!, 2, FALSE),"]")</f>
        <v>#REF!</v>
      </c>
    </row>
    <row r="2" spans="1:2" x14ac:dyDescent="0.2">
      <c r="A2" s="6" t="s">
        <v>210</v>
      </c>
      <c r="B2" s="6" t="s">
        <v>45</v>
      </c>
    </row>
    <row r="3" spans="1:2" x14ac:dyDescent="0.2">
      <c r="A3" s="6" t="s">
        <v>114</v>
      </c>
      <c r="B3" s="54">
        <v>0</v>
      </c>
    </row>
    <row r="4" spans="1:2" x14ac:dyDescent="0.2">
      <c r="A4" s="6" t="s">
        <v>115</v>
      </c>
      <c r="B4" s="54">
        <v>14285.714285714286</v>
      </c>
    </row>
    <row r="5" spans="1:2" x14ac:dyDescent="0.2">
      <c r="A5" s="6" t="s">
        <v>116</v>
      </c>
      <c r="B5" s="54">
        <v>35714.285714285717</v>
      </c>
    </row>
    <row r="6" spans="1:2" x14ac:dyDescent="0.2">
      <c r="A6" s="6" t="s">
        <v>117</v>
      </c>
      <c r="B6" s="54">
        <v>42857.142857142855</v>
      </c>
    </row>
    <row r="7" spans="1:2" x14ac:dyDescent="0.2">
      <c r="A7" s="6" t="s">
        <v>118</v>
      </c>
      <c r="B7" s="54">
        <v>50000</v>
      </c>
    </row>
  </sheetData>
  <pageMargins left="0.7" right="0.7" top="0.75" bottom="0.75" header="0.3" footer="0.3"/>
  <pageSetup orientation="portrait" r:id="rId1"/>
</worksheet>
</file>

<file path=xl/worksheets/sheet8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5632D3-BD42-4D5C-8C0F-68DF124ED3E8}">
  <sheetPr>
    <tabColor theme="5" tint="0.79998168889431442"/>
  </sheetPr>
  <dimension ref="A1:B7"/>
  <sheetViews>
    <sheetView workbookViewId="0">
      <selection activeCell="A2" sqref="A2"/>
    </sheetView>
  </sheetViews>
  <sheetFormatPr baseColWidth="10" defaultColWidth="9.1640625" defaultRowHeight="16" x14ac:dyDescent="0.2"/>
  <cols>
    <col min="1" max="1" width="18" style="1" customWidth="1"/>
    <col min="2" max="16384" width="9.1640625" style="1"/>
  </cols>
  <sheetData>
    <row r="1" spans="1:2" x14ac:dyDescent="0.2">
      <c r="A1" s="1" t="str">
        <f>_xlfn.CONCAT( "Table of Pipeline Diameters [",VLOOKUP("diameter", Units!$A$2:$B$11, 2, FALSE),"]")</f>
        <v>Table of Pipeline Diameters [inch]</v>
      </c>
    </row>
    <row r="2" spans="1:2" x14ac:dyDescent="0.2">
      <c r="A2" s="6" t="s">
        <v>210</v>
      </c>
      <c r="B2" s="6" t="s">
        <v>45</v>
      </c>
    </row>
    <row r="3" spans="1:2" x14ac:dyDescent="0.2">
      <c r="A3" s="6"/>
      <c r="B3" s="54"/>
    </row>
    <row r="4" spans="1:2" x14ac:dyDescent="0.2">
      <c r="A4" s="6"/>
      <c r="B4" s="54"/>
    </row>
    <row r="5" spans="1:2" x14ac:dyDescent="0.2">
      <c r="A5" s="6"/>
      <c r="B5" s="54"/>
    </row>
    <row r="6" spans="1:2" x14ac:dyDescent="0.2">
      <c r="A6" s="6"/>
      <c r="B6" s="54"/>
    </row>
    <row r="7" spans="1:2" x14ac:dyDescent="0.2">
      <c r="A7" s="6"/>
      <c r="B7" s="54"/>
    </row>
  </sheetData>
  <pageMargins left="0.7" right="0.7" top="0.75" bottom="0.75" header="0.3" footer="0.3"/>
  <pageSetup orientation="portrait" r:id="rId1"/>
</worksheet>
</file>

<file path=xl/worksheets/sheet8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74F75E-153D-40A1-94D4-31ED20AACD7B}">
  <sheetPr>
    <tabColor rgb="FFAFF3DE"/>
  </sheetPr>
  <dimension ref="A1:C12"/>
  <sheetViews>
    <sheetView workbookViewId="0">
      <selection activeCell="B1" sqref="B1"/>
    </sheetView>
  </sheetViews>
  <sheetFormatPr baseColWidth="10" defaultColWidth="9.1640625" defaultRowHeight="16" x14ac:dyDescent="0.2"/>
  <cols>
    <col min="1" max="1" width="17.1640625" style="1" customWidth="1"/>
    <col min="2" max="2" width="23.5" style="1" bestFit="1" customWidth="1"/>
    <col min="3" max="16384" width="9.1640625" style="1"/>
  </cols>
  <sheetData>
    <row r="1" spans="1:3" x14ac:dyDescent="0.2">
      <c r="A1" s="1" t="s">
        <v>214</v>
      </c>
    </row>
    <row r="2" spans="1:3" x14ac:dyDescent="0.2">
      <c r="A2" s="6" t="s">
        <v>146</v>
      </c>
      <c r="B2" s="6" t="s">
        <v>209</v>
      </c>
      <c r="C2" s="6" t="s">
        <v>45</v>
      </c>
    </row>
    <row r="3" spans="1:3" x14ac:dyDescent="0.2">
      <c r="A3" s="6"/>
      <c r="B3" s="6"/>
      <c r="C3" s="4"/>
    </row>
    <row r="4" spans="1:3" x14ac:dyDescent="0.2">
      <c r="A4" s="6"/>
      <c r="B4" s="6"/>
      <c r="C4" s="4"/>
    </row>
    <row r="5" spans="1:3" x14ac:dyDescent="0.2">
      <c r="A5" s="6"/>
      <c r="B5" s="6"/>
      <c r="C5" s="4"/>
    </row>
    <row r="6" spans="1:3" x14ac:dyDescent="0.2">
      <c r="A6" s="6"/>
      <c r="B6" s="6"/>
      <c r="C6" s="4"/>
    </row>
    <row r="7" spans="1:3" x14ac:dyDescent="0.2">
      <c r="A7" s="6"/>
      <c r="B7" s="6"/>
      <c r="C7" s="4"/>
    </row>
    <row r="8" spans="1:3" x14ac:dyDescent="0.2">
      <c r="A8" s="6"/>
      <c r="B8" s="6"/>
      <c r="C8" s="4"/>
    </row>
    <row r="9" spans="1:3" x14ac:dyDescent="0.2">
      <c r="A9" s="6"/>
      <c r="B9" s="6"/>
      <c r="C9" s="4"/>
    </row>
    <row r="10" spans="1:3" x14ac:dyDescent="0.2">
      <c r="A10" s="6"/>
      <c r="B10" s="6"/>
      <c r="C10" s="4"/>
    </row>
    <row r="11" spans="1:3" x14ac:dyDescent="0.2">
      <c r="A11" s="6"/>
      <c r="B11" s="6"/>
      <c r="C11" s="4"/>
    </row>
    <row r="12" spans="1:3" x14ac:dyDescent="0.2">
      <c r="A12" s="6"/>
      <c r="B12" s="6"/>
      <c r="C12" s="4"/>
    </row>
  </sheetData>
  <pageMargins left="0.7" right="0.7" top="0.75" bottom="0.75" header="0.3" footer="0.3"/>
</worksheet>
</file>

<file path=xl/worksheets/sheet8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FD92FF-3AD4-4D23-8578-311AD898F13B}">
  <sheetPr>
    <tabColor rgb="FFAFF3DE"/>
  </sheetPr>
  <dimension ref="A1:C12"/>
  <sheetViews>
    <sheetView workbookViewId="0"/>
  </sheetViews>
  <sheetFormatPr baseColWidth="10" defaultColWidth="9.1640625" defaultRowHeight="16" x14ac:dyDescent="0.2"/>
  <cols>
    <col min="1" max="1" width="17.5" style="1" customWidth="1"/>
    <col min="2" max="2" width="23.1640625" style="1" customWidth="1"/>
    <col min="3" max="16384" width="9.1640625" style="1"/>
  </cols>
  <sheetData>
    <row r="1" spans="1:3" x14ac:dyDescent="0.2">
      <c r="A1" s="1" t="s">
        <v>232</v>
      </c>
    </row>
    <row r="2" spans="1:3" x14ac:dyDescent="0.2">
      <c r="A2" s="6" t="s">
        <v>146</v>
      </c>
      <c r="B2" s="6" t="s">
        <v>209</v>
      </c>
      <c r="C2" s="6" t="s">
        <v>215</v>
      </c>
    </row>
    <row r="3" spans="1:3" x14ac:dyDescent="0.2">
      <c r="A3" s="6"/>
      <c r="B3" s="6"/>
      <c r="C3" s="4"/>
    </row>
    <row r="4" spans="1:3" x14ac:dyDescent="0.2">
      <c r="A4" s="6"/>
      <c r="B4" s="6"/>
      <c r="C4" s="4"/>
    </row>
    <row r="5" spans="1:3" x14ac:dyDescent="0.2">
      <c r="A5" s="6"/>
      <c r="B5" s="6"/>
      <c r="C5" s="4"/>
    </row>
    <row r="6" spans="1:3" x14ac:dyDescent="0.2">
      <c r="A6" s="6"/>
      <c r="B6" s="6"/>
      <c r="C6" s="4"/>
    </row>
    <row r="7" spans="1:3" x14ac:dyDescent="0.2">
      <c r="A7" s="6"/>
      <c r="B7" s="6"/>
      <c r="C7" s="4"/>
    </row>
    <row r="8" spans="1:3" x14ac:dyDescent="0.2">
      <c r="A8" s="6"/>
      <c r="B8" s="6"/>
      <c r="C8" s="4"/>
    </row>
    <row r="9" spans="1:3" x14ac:dyDescent="0.2">
      <c r="A9" s="6"/>
      <c r="B9" s="6"/>
      <c r="C9" s="4"/>
    </row>
    <row r="10" spans="1:3" x14ac:dyDescent="0.2">
      <c r="A10" s="6"/>
      <c r="B10" s="6"/>
      <c r="C10" s="4"/>
    </row>
    <row r="11" spans="1:3" x14ac:dyDescent="0.2">
      <c r="A11" s="6"/>
      <c r="B11" s="6"/>
      <c r="C11" s="4"/>
    </row>
    <row r="12" spans="1:3" x14ac:dyDescent="0.2">
      <c r="A12" s="6"/>
      <c r="B12" s="6"/>
      <c r="C12" s="4"/>
    </row>
  </sheetData>
  <pageMargins left="0.7" right="0.7" top="0.75" bottom="0.75" header="0.3" footer="0.3"/>
</worksheet>
</file>

<file path=xl/worksheets/sheet8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96B071-C07A-46F0-B343-7584DB2F1269}">
  <sheetPr>
    <tabColor rgb="FFAFF3DE"/>
  </sheetPr>
  <dimension ref="A1:B7"/>
  <sheetViews>
    <sheetView workbookViewId="0"/>
  </sheetViews>
  <sheetFormatPr baseColWidth="10" defaultColWidth="9.1640625" defaultRowHeight="16" x14ac:dyDescent="0.2"/>
  <cols>
    <col min="1" max="1" width="25.5" style="1" customWidth="1"/>
    <col min="2" max="16384" width="9.1640625" style="1"/>
  </cols>
  <sheetData>
    <row r="1" spans="1:2" x14ac:dyDescent="0.2">
      <c r="A1" s="1" t="s">
        <v>229</v>
      </c>
    </row>
    <row r="2" spans="1:2" x14ac:dyDescent="0.2">
      <c r="A2" s="6" t="s">
        <v>209</v>
      </c>
      <c r="B2" s="6" t="s">
        <v>45</v>
      </c>
    </row>
    <row r="3" spans="1:2" x14ac:dyDescent="0.2">
      <c r="A3" s="60"/>
      <c r="B3" s="54"/>
    </row>
    <row r="4" spans="1:2" x14ac:dyDescent="0.2">
      <c r="A4" s="60"/>
      <c r="B4" s="54"/>
    </row>
    <row r="5" spans="1:2" x14ac:dyDescent="0.2">
      <c r="A5" s="60"/>
      <c r="B5" s="54"/>
    </row>
    <row r="6" spans="1:2" x14ac:dyDescent="0.2">
      <c r="A6" s="60"/>
      <c r="B6" s="54"/>
    </row>
    <row r="7" spans="1:2" x14ac:dyDescent="0.2">
      <c r="A7" s="6"/>
      <c r="B7" s="54"/>
    </row>
  </sheetData>
  <pageMargins left="0.7" right="0.7" top="0.75" bottom="0.75" header="0.3" footer="0.3"/>
</worksheet>
</file>

<file path=xl/worksheets/sheet8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80B7E4-4C81-4B91-B37B-915E590A92F2}">
  <sheetPr>
    <tabColor rgb="FFAFF3DE"/>
  </sheetPr>
  <dimension ref="A1:B4"/>
  <sheetViews>
    <sheetView workbookViewId="0">
      <selection activeCell="A4" sqref="A4"/>
    </sheetView>
  </sheetViews>
  <sheetFormatPr baseColWidth="10" defaultColWidth="9.1640625" defaultRowHeight="16" x14ac:dyDescent="0.2"/>
  <cols>
    <col min="1" max="1" width="18" style="1" customWidth="1"/>
    <col min="2" max="16384" width="9.1640625" style="1"/>
  </cols>
  <sheetData>
    <row r="1" spans="1:2" x14ac:dyDescent="0.2">
      <c r="A1" s="1" t="s">
        <v>227</v>
      </c>
    </row>
    <row r="2" spans="1:2" x14ac:dyDescent="0.2">
      <c r="A2" s="6" t="s">
        <v>146</v>
      </c>
      <c r="B2" s="6" t="s">
        <v>45</v>
      </c>
    </row>
    <row r="3" spans="1:2" x14ac:dyDescent="0.2">
      <c r="A3" s="6"/>
      <c r="B3" s="4"/>
    </row>
    <row r="4" spans="1:2" x14ac:dyDescent="0.2">
      <c r="A4" s="6"/>
      <c r="B4" s="4"/>
    </row>
  </sheetData>
  <pageMargins left="0.7" right="0.7" top="0.75" bottom="0.75" header="0.3" footer="0.3"/>
</worksheet>
</file>

<file path=xl/worksheets/sheet8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AE292C-3BB2-2849-BB83-C54AA781DD52}">
  <sheetPr>
    <tabColor rgb="FFAFF3DE"/>
  </sheetPr>
  <dimension ref="A1:B2"/>
  <sheetViews>
    <sheetView workbookViewId="0">
      <selection activeCell="B6" sqref="B6"/>
    </sheetView>
  </sheetViews>
  <sheetFormatPr baseColWidth="10" defaultRowHeight="15" x14ac:dyDescent="0.2"/>
  <cols>
    <col min="1" max="1" width="15.1640625" customWidth="1"/>
  </cols>
  <sheetData>
    <row r="1" spans="1:2" ht="16" x14ac:dyDescent="0.2">
      <c r="A1" s="1" t="s">
        <v>261</v>
      </c>
    </row>
    <row r="2" spans="1:2" ht="16" x14ac:dyDescent="0.2">
      <c r="A2" s="6" t="s">
        <v>255</v>
      </c>
      <c r="B2" s="6" t="s">
        <v>45</v>
      </c>
    </row>
  </sheetData>
  <pageMargins left="0.7" right="0.7" top="0.75" bottom="0.75" header="0.3" footer="0.3"/>
</worksheet>
</file>

<file path=xl/worksheets/sheet8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FBE079-FAED-46A7-9D21-827D4D11C1A7}">
  <sheetPr>
    <tabColor rgb="FFAFF3DE"/>
  </sheetPr>
  <dimension ref="A1:B5"/>
  <sheetViews>
    <sheetView workbookViewId="0">
      <selection activeCell="A2" sqref="A2"/>
    </sheetView>
  </sheetViews>
  <sheetFormatPr baseColWidth="10" defaultColWidth="9.1640625" defaultRowHeight="16" x14ac:dyDescent="0.2"/>
  <cols>
    <col min="1" max="1" width="18.5" style="1" customWidth="1"/>
    <col min="2" max="16384" width="9.1640625" style="1"/>
  </cols>
  <sheetData>
    <row r="1" spans="1:2" x14ac:dyDescent="0.2">
      <c r="A1" s="1" t="str">
        <f>_xlfn.CONCAT( "Table with credit received for sending water to beneficial reuse [",VLOOKUP("currency", Units!$A$2:$B$11, 2, FALSE),"/", VLOOKUP("volume", Units!$A$2:$B$11, 2, FALSE),"]")</f>
        <v>Table with credit received for sending water to beneficial reuse [USD/bbl]</v>
      </c>
    </row>
    <row r="2" spans="1:2" x14ac:dyDescent="0.2">
      <c r="A2" s="6" t="s">
        <v>255</v>
      </c>
      <c r="B2" s="6" t="s">
        <v>45</v>
      </c>
    </row>
    <row r="3" spans="1:2" x14ac:dyDescent="0.2">
      <c r="A3" s="6"/>
      <c r="B3" s="4"/>
    </row>
    <row r="4" spans="1:2" x14ac:dyDescent="0.2">
      <c r="A4" s="6"/>
      <c r="B4" s="4"/>
    </row>
    <row r="5" spans="1:2" x14ac:dyDescent="0.2">
      <c r="A5" s="6"/>
      <c r="B5" s="4"/>
    </row>
  </sheetData>
  <pageMargins left="0.7" right="0.7" top="0.75" bottom="0.75" header="0.3" footer="0.3"/>
</worksheet>
</file>

<file path=xl/worksheets/sheet8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338A37-BF8E-46F2-AA7C-FB95F874D0FC}">
  <sheetPr>
    <tabColor rgb="FFAFF3DE"/>
  </sheetPr>
  <dimension ref="A1:B3"/>
  <sheetViews>
    <sheetView workbookViewId="0"/>
  </sheetViews>
  <sheetFormatPr baseColWidth="10" defaultColWidth="9.1640625" defaultRowHeight="16" x14ac:dyDescent="0.2"/>
  <cols>
    <col min="1" max="1" width="19.1640625" style="1" customWidth="1"/>
    <col min="2" max="16384" width="9.1640625" style="1"/>
  </cols>
  <sheetData>
    <row r="1" spans="1:2" x14ac:dyDescent="0.2">
      <c r="A1" s="1" t="s">
        <v>228</v>
      </c>
    </row>
    <row r="2" spans="1:2" x14ac:dyDescent="0.2">
      <c r="A2" s="6" t="s">
        <v>137</v>
      </c>
      <c r="B2" s="6" t="s">
        <v>45</v>
      </c>
    </row>
    <row r="3" spans="1:2" x14ac:dyDescent="0.2">
      <c r="A3" s="6"/>
      <c r="B3" s="54"/>
    </row>
  </sheetData>
  <pageMargins left="0.7" right="0.7" top="0.75" bottom="0.75" header="0.3" footer="0.3"/>
</worksheet>
</file>

<file path=xl/worksheets/sheet9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EDDE38-2D71-4494-ABC1-8D5269A138D9}">
  <sheetPr>
    <tabColor rgb="FFAFF3DE"/>
  </sheetPr>
  <dimension ref="A1:C6"/>
  <sheetViews>
    <sheetView workbookViewId="0">
      <selection activeCell="A8" sqref="A8"/>
    </sheetView>
  </sheetViews>
  <sheetFormatPr baseColWidth="10" defaultColWidth="9.1640625" defaultRowHeight="16" x14ac:dyDescent="0.2"/>
  <cols>
    <col min="1" max="1" width="24.33203125" style="1" bestFit="1" customWidth="1"/>
    <col min="2" max="2" width="9.5" style="1" bestFit="1" customWidth="1"/>
    <col min="3" max="16384" width="9.1640625" style="1"/>
  </cols>
  <sheetData>
    <row r="1" spans="1:3" ht="17" thickBot="1" x14ac:dyDescent="0.25">
      <c r="A1" s="23" t="s">
        <v>218</v>
      </c>
    </row>
    <row r="2" spans="1:3" x14ac:dyDescent="0.2">
      <c r="A2" s="3" t="s">
        <v>44</v>
      </c>
      <c r="B2" s="20" t="s">
        <v>216</v>
      </c>
    </row>
    <row r="3" spans="1:3" x14ac:dyDescent="0.2">
      <c r="A3" s="21" t="s">
        <v>219</v>
      </c>
      <c r="B3" s="25">
        <v>110</v>
      </c>
    </row>
    <row r="4" spans="1:3" x14ac:dyDescent="0.2">
      <c r="A4" s="21" t="s">
        <v>220</v>
      </c>
      <c r="B4" s="30">
        <v>0.03</v>
      </c>
    </row>
    <row r="5" spans="1:3" x14ac:dyDescent="0.2">
      <c r="A5" s="21" t="s">
        <v>245</v>
      </c>
      <c r="B5" s="25">
        <v>10</v>
      </c>
      <c r="C5" s="1" t="s">
        <v>234</v>
      </c>
    </row>
    <row r="6" spans="1:3" ht="17" thickBot="1" x14ac:dyDescent="0.25">
      <c r="A6" s="22" t="s">
        <v>246</v>
      </c>
      <c r="B6" s="26">
        <v>150</v>
      </c>
      <c r="C6" s="1" t="s">
        <v>234</v>
      </c>
    </row>
  </sheetData>
  <pageMargins left="0.7" right="0.7" top="0.75" bottom="0.75" header="0.3" footer="0.3"/>
</worksheet>
</file>

<file path=xl/worksheets/sheet9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2F8796-71C2-44EA-9373-5A0165D7B559}">
  <sheetPr>
    <tabColor rgb="FFAFF3DE"/>
  </sheetPr>
  <dimension ref="A1:B4"/>
  <sheetViews>
    <sheetView workbookViewId="0">
      <selection activeCell="A5" sqref="A5"/>
    </sheetView>
  </sheetViews>
  <sheetFormatPr baseColWidth="10" defaultColWidth="9.1640625" defaultRowHeight="16" x14ac:dyDescent="0.2"/>
  <cols>
    <col min="1" max="1" width="17" style="1" bestFit="1" customWidth="1"/>
    <col min="2" max="16384" width="9.1640625" style="1"/>
  </cols>
  <sheetData>
    <row r="1" spans="1:2" ht="17" thickBot="1" x14ac:dyDescent="0.25">
      <c r="A1" s="23" t="s">
        <v>221</v>
      </c>
    </row>
    <row r="2" spans="1:2" x14ac:dyDescent="0.2">
      <c r="A2" s="3" t="s">
        <v>44</v>
      </c>
      <c r="B2" s="20" t="s">
        <v>216</v>
      </c>
    </row>
    <row r="3" spans="1:2" x14ac:dyDescent="0.2">
      <c r="A3" s="21" t="s">
        <v>222</v>
      </c>
      <c r="B3" s="30">
        <v>0.08</v>
      </c>
    </row>
    <row r="4" spans="1:2" ht="17" thickBot="1" x14ac:dyDescent="0.25">
      <c r="A4" s="22" t="s">
        <v>223</v>
      </c>
      <c r="B4" s="26">
        <v>20</v>
      </c>
    </row>
  </sheetData>
  <pageMargins left="0.7" right="0.7" top="0.75" bottom="0.75" header="0.3" footer="0.3"/>
</worksheet>
</file>

<file path=xl/worksheets/sheet9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30FC6D-65BF-9E45-B3EE-314250A8309C}">
  <sheetPr>
    <tabColor theme="8" tint="0.79998168889431442"/>
  </sheetPr>
  <dimension ref="A1:B4"/>
  <sheetViews>
    <sheetView workbookViewId="0">
      <selection activeCell="E5" sqref="E5"/>
    </sheetView>
  </sheetViews>
  <sheetFormatPr baseColWidth="10" defaultColWidth="9.1640625" defaultRowHeight="16" x14ac:dyDescent="0.2"/>
  <cols>
    <col min="1" max="1" width="26" style="1" customWidth="1"/>
    <col min="2" max="16384" width="9.1640625" style="1"/>
  </cols>
  <sheetData>
    <row r="1" spans="1:2" x14ac:dyDescent="0.2">
      <c r="A1" s="1" t="str">
        <f>_xlfn.CONCAT( "Table of Water Quality of External Water Sources [",VLOOKUP("concentration", Units!$A$2:$B$11, 2, FALSE),"]")</f>
        <v>Table of Water Quality of External Water Sources [mg/liter]</v>
      </c>
    </row>
    <row r="2" spans="1:2" x14ac:dyDescent="0.2">
      <c r="A2" s="6" t="s">
        <v>296</v>
      </c>
      <c r="B2" s="6" t="s">
        <v>215</v>
      </c>
    </row>
    <row r="3" spans="1:2" x14ac:dyDescent="0.2">
      <c r="A3" s="6"/>
      <c r="B3" s="81"/>
    </row>
    <row r="4" spans="1:2" x14ac:dyDescent="0.2">
      <c r="A4" s="6"/>
      <c r="B4" s="81"/>
    </row>
  </sheetData>
  <pageMargins left="0.7" right="0.7" top="0.75" bottom="0.75" header="0.3" footer="0.3"/>
  <pageSetup orientation="portrait" r:id="rId1"/>
</worksheet>
</file>

<file path=xl/worksheets/sheet9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4045F2-617D-4B6C-9AE3-C6E73CF3B321}">
  <sheetPr>
    <tabColor theme="8" tint="0.79998168889431442"/>
  </sheetPr>
  <dimension ref="A1:B7"/>
  <sheetViews>
    <sheetView workbookViewId="0">
      <selection activeCell="A2" sqref="A2"/>
    </sheetView>
  </sheetViews>
  <sheetFormatPr baseColWidth="10" defaultColWidth="9.1640625" defaultRowHeight="16" x14ac:dyDescent="0.2"/>
  <cols>
    <col min="1" max="1" width="9.5" style="1" bestFit="1" customWidth="1"/>
    <col min="2" max="2" width="12.6640625" style="1" bestFit="1" customWidth="1"/>
    <col min="3" max="3" width="12.5" style="1" bestFit="1" customWidth="1"/>
    <col min="4" max="4" width="11.6640625" style="1" customWidth="1"/>
    <col min="5" max="5" width="17.1640625" style="1" bestFit="1" customWidth="1"/>
    <col min="6" max="6" width="16.1640625" style="1" customWidth="1"/>
    <col min="7" max="7" width="11.5" style="1" bestFit="1" customWidth="1"/>
    <col min="8" max="8" width="11" style="1" bestFit="1" customWidth="1"/>
    <col min="9" max="16384" width="9.1640625" style="1"/>
  </cols>
  <sheetData>
    <row r="1" spans="1:2" x14ac:dyDescent="0.2">
      <c r="A1" s="1" t="str">
        <f>_xlfn.CONCAT( "Table of Water Quality of Produced Water and Flowback Water [",VLOOKUP("concentration", Units!$A$2:$B$11, 2, FALSE),"]")</f>
        <v>Table of Water Quality of Produced Water and Flowback Water [mg/liter]</v>
      </c>
    </row>
    <row r="2" spans="1:2" x14ac:dyDescent="0.2">
      <c r="A2" s="6" t="s">
        <v>224</v>
      </c>
      <c r="B2" s="6" t="s">
        <v>215</v>
      </c>
    </row>
    <row r="3" spans="1:2" x14ac:dyDescent="0.2">
      <c r="A3" s="6"/>
      <c r="B3" s="58"/>
    </row>
    <row r="4" spans="1:2" x14ac:dyDescent="0.2">
      <c r="A4" s="6"/>
      <c r="B4" s="58"/>
    </row>
    <row r="5" spans="1:2" x14ac:dyDescent="0.2">
      <c r="A5" s="6"/>
      <c r="B5" s="58"/>
    </row>
    <row r="6" spans="1:2" x14ac:dyDescent="0.2">
      <c r="A6" s="6"/>
      <c r="B6" s="58"/>
    </row>
    <row r="7" spans="1:2" x14ac:dyDescent="0.2">
      <c r="A7" s="6"/>
      <c r="B7" s="58"/>
    </row>
  </sheetData>
  <pageMargins left="0.7" right="0.7" top="0.75" bottom="0.75" header="0.3" footer="0.3"/>
  <pageSetup orientation="portrait" r:id="rId1"/>
</worksheet>
</file>

<file path=xl/worksheets/sheet9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E4BAFD-2A94-4164-976F-B9E5B42E5AAB}">
  <sheetPr>
    <tabColor theme="8" tint="0.79998168889431442"/>
  </sheetPr>
  <dimension ref="A1:B5"/>
  <sheetViews>
    <sheetView workbookViewId="0">
      <selection activeCell="A2" sqref="A2"/>
    </sheetView>
  </sheetViews>
  <sheetFormatPr baseColWidth="10" defaultColWidth="9.1640625" defaultRowHeight="16" x14ac:dyDescent="0.2"/>
  <cols>
    <col min="1" max="1" width="9.1640625" style="1"/>
    <col min="2" max="2" width="12.6640625" style="1" bestFit="1" customWidth="1"/>
    <col min="3" max="16384" width="9.1640625" style="1"/>
  </cols>
  <sheetData>
    <row r="1" spans="1:2" x14ac:dyDescent="0.2">
      <c r="A1" s="1" t="str">
        <f>_xlfn.CONCAT( "Table of Initial Water Quality at Storage [", VLOOKUP("concentration", Units!A2:B9, 2, FALSE),,"]")</f>
        <v>Table of Initial Water Quality at Storage [mg/liter]</v>
      </c>
    </row>
    <row r="2" spans="1:2" x14ac:dyDescent="0.2">
      <c r="A2" s="6" t="s">
        <v>224</v>
      </c>
      <c r="B2" s="6" t="s">
        <v>215</v>
      </c>
    </row>
    <row r="3" spans="1:2" x14ac:dyDescent="0.2">
      <c r="A3" s="6"/>
      <c r="B3" s="58"/>
    </row>
    <row r="4" spans="1:2" x14ac:dyDescent="0.2">
      <c r="A4" s="6"/>
      <c r="B4" s="58"/>
    </row>
    <row r="5" spans="1:2" x14ac:dyDescent="0.2">
      <c r="A5" s="6"/>
      <c r="B5" s="58"/>
    </row>
  </sheetData>
  <phoneticPr fontId="2" type="noConversion"/>
  <pageMargins left="0.7" right="0.7" top="0.75" bottom="0.75" header="0.3" footer="0.3"/>
  <pageSetup orientation="portrait" r:id="rId1"/>
</worksheet>
</file>

<file path=xl/worksheets/sheet9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C69F2D-49DC-1944-BFFB-2EEA9F71D13F}">
  <sheetPr>
    <tabColor theme="8" tint="0.79998168889431442"/>
  </sheetPr>
  <dimension ref="A1:F7"/>
  <sheetViews>
    <sheetView workbookViewId="0">
      <selection activeCell="A7" sqref="A7"/>
    </sheetView>
  </sheetViews>
  <sheetFormatPr baseColWidth="10" defaultColWidth="8.83203125" defaultRowHeight="15" x14ac:dyDescent="0.2"/>
  <cols>
    <col min="1" max="1" width="62.5" bestFit="1" customWidth="1"/>
    <col min="2" max="2" width="16.6640625" bestFit="1" customWidth="1"/>
    <col min="3" max="3" width="9.83203125" bestFit="1" customWidth="1"/>
    <col min="4" max="4" width="13.83203125" bestFit="1" customWidth="1"/>
    <col min="5" max="7" width="9" bestFit="1" customWidth="1"/>
    <col min="8" max="8" width="10" bestFit="1" customWidth="1"/>
  </cols>
  <sheetData>
    <row r="1" spans="1:6" ht="17" thickBot="1" x14ac:dyDescent="0.25">
      <c r="A1" s="1" t="str">
        <f>_xlfn.CONCAT( "Table of Air Emissions Coefficients ")</f>
        <v xml:space="preserve">Table of Air Emissions Coefficients </v>
      </c>
      <c r="B1" s="1"/>
    </row>
    <row r="2" spans="1:6" ht="16" x14ac:dyDescent="0.2">
      <c r="A2" s="3" t="s">
        <v>44</v>
      </c>
      <c r="B2" s="72" t="s">
        <v>269</v>
      </c>
      <c r="C2" s="64" t="s">
        <v>270</v>
      </c>
      <c r="D2" s="64" t="s">
        <v>271</v>
      </c>
      <c r="E2" s="64" t="s">
        <v>272</v>
      </c>
      <c r="F2" s="65" t="s">
        <v>273</v>
      </c>
    </row>
    <row r="3" spans="1:6" ht="16" x14ac:dyDescent="0.2">
      <c r="A3" s="21" t="s">
        <v>289</v>
      </c>
      <c r="B3" s="67">
        <v>2035000</v>
      </c>
      <c r="C3" s="67">
        <v>35.75</v>
      </c>
      <c r="D3" s="67">
        <v>12649.999999999998</v>
      </c>
      <c r="E3" s="67">
        <v>770.00000000000011</v>
      </c>
      <c r="F3" s="68">
        <v>120.99999999999999</v>
      </c>
    </row>
    <row r="4" spans="1:6" ht="16" x14ac:dyDescent="0.2">
      <c r="A4" s="21" t="s">
        <v>290</v>
      </c>
      <c r="B4" s="67">
        <v>22</v>
      </c>
      <c r="C4" s="67">
        <v>2.0000000000000001E-4</v>
      </c>
      <c r="D4" s="67">
        <v>1.4E-2</v>
      </c>
      <c r="E4" s="67">
        <v>7.1000000000000004E-3</v>
      </c>
      <c r="F4" s="68">
        <v>8.5999999999999998E-4</v>
      </c>
    </row>
    <row r="5" spans="1:6" ht="16" x14ac:dyDescent="0.2">
      <c r="A5" s="21" t="s">
        <v>291</v>
      </c>
      <c r="B5" s="67">
        <v>310000000</v>
      </c>
      <c r="C5" s="67">
        <v>2800</v>
      </c>
      <c r="D5" s="67">
        <v>190000</v>
      </c>
      <c r="E5" s="67">
        <v>100000</v>
      </c>
      <c r="F5" s="68">
        <v>12000</v>
      </c>
    </row>
    <row r="6" spans="1:6" ht="16" x14ac:dyDescent="0.2">
      <c r="A6" s="21" t="s">
        <v>292</v>
      </c>
      <c r="B6" s="67">
        <v>970</v>
      </c>
      <c r="C6" s="67">
        <v>0.13</v>
      </c>
      <c r="D6" s="67">
        <v>9.5</v>
      </c>
      <c r="E6" s="67">
        <v>2.8</v>
      </c>
      <c r="F6" s="68">
        <v>0.87</v>
      </c>
    </row>
    <row r="7" spans="1:6" ht="17" thickBot="1" x14ac:dyDescent="0.25">
      <c r="A7" s="22" t="s">
        <v>293</v>
      </c>
      <c r="B7" s="70">
        <v>1000</v>
      </c>
      <c r="C7" s="70">
        <v>1.2E-2</v>
      </c>
      <c r="D7" s="70">
        <v>2</v>
      </c>
      <c r="E7" s="70">
        <v>0.65</v>
      </c>
      <c r="F7" s="71">
        <v>7.5999999999999998E-2</v>
      </c>
    </row>
  </sheetData>
  <pageMargins left="0.7" right="0.7" top="0.75" bottom="0.75" header="0.3" footer="0.3"/>
  <pageSetup orientation="portrait" r:id="rId1"/>
</worksheet>
</file>

<file path=xl/worksheets/sheet9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0936AA-9CB5-FA48-AA26-19FC94AF5C3A}">
  <sheetPr>
    <tabColor theme="8" tint="0.79998168889431442"/>
  </sheetPr>
  <dimension ref="A1:F9"/>
  <sheetViews>
    <sheetView workbookViewId="0">
      <selection activeCell="M15" sqref="M15"/>
    </sheetView>
  </sheetViews>
  <sheetFormatPr baseColWidth="10" defaultColWidth="8.83203125" defaultRowHeight="15" x14ac:dyDescent="0.2"/>
  <cols>
    <col min="1" max="1" width="26.5" customWidth="1"/>
  </cols>
  <sheetData>
    <row r="1" spans="1:6" ht="17" thickBot="1" x14ac:dyDescent="0.25">
      <c r="A1" s="1" t="s">
        <v>294</v>
      </c>
      <c r="B1" s="1"/>
    </row>
    <row r="2" spans="1:6" ht="16" x14ac:dyDescent="0.2">
      <c r="A2" s="63" t="s">
        <v>209</v>
      </c>
      <c r="B2" s="64" t="s">
        <v>269</v>
      </c>
      <c r="C2" s="64" t="s">
        <v>270</v>
      </c>
      <c r="D2" s="64" t="s">
        <v>271</v>
      </c>
      <c r="E2" s="64" t="s">
        <v>272</v>
      </c>
      <c r="F2" s="65" t="s">
        <v>273</v>
      </c>
    </row>
    <row r="3" spans="1:6" ht="16" x14ac:dyDescent="0.2">
      <c r="A3" s="66" t="s">
        <v>109</v>
      </c>
      <c r="B3" s="67">
        <v>9600</v>
      </c>
      <c r="C3" s="67">
        <v>1.45</v>
      </c>
      <c r="D3" s="67">
        <v>12.8</v>
      </c>
      <c r="E3" s="67">
        <v>13.5</v>
      </c>
      <c r="F3" s="68">
        <v>1.5</v>
      </c>
    </row>
    <row r="4" spans="1:6" ht="16" x14ac:dyDescent="0.2">
      <c r="A4" s="66" t="s">
        <v>110</v>
      </c>
      <c r="B4" s="67">
        <v>9600</v>
      </c>
      <c r="C4" s="67">
        <v>1.45</v>
      </c>
      <c r="D4" s="67">
        <v>12.8</v>
      </c>
      <c r="E4" s="67">
        <v>13.5</v>
      </c>
      <c r="F4" s="68">
        <v>1.5</v>
      </c>
    </row>
    <row r="5" spans="1:6" ht="21" customHeight="1" x14ac:dyDescent="0.2">
      <c r="A5" s="66" t="s">
        <v>230</v>
      </c>
      <c r="B5" s="67">
        <v>9600</v>
      </c>
      <c r="C5" s="67">
        <v>1.45</v>
      </c>
      <c r="D5" s="67">
        <v>12.8</v>
      </c>
      <c r="E5" s="67">
        <v>13.5</v>
      </c>
      <c r="F5" s="68">
        <v>1.5</v>
      </c>
    </row>
    <row r="6" spans="1:6" ht="16" x14ac:dyDescent="0.2">
      <c r="A6" s="66" t="s">
        <v>231</v>
      </c>
      <c r="B6" s="67">
        <v>9600</v>
      </c>
      <c r="C6" s="67">
        <v>1.45</v>
      </c>
      <c r="D6" s="67">
        <v>12.8</v>
      </c>
      <c r="E6" s="67">
        <v>13.5</v>
      </c>
      <c r="F6" s="68">
        <v>1.5</v>
      </c>
    </row>
    <row r="7" spans="1:6" ht="17" thickBot="1" x14ac:dyDescent="0.25">
      <c r="A7" s="69" t="s">
        <v>274</v>
      </c>
      <c r="B7" s="70">
        <v>9600</v>
      </c>
      <c r="C7" s="70">
        <v>1.45</v>
      </c>
      <c r="D7" s="70">
        <v>12.8</v>
      </c>
      <c r="E7" s="70">
        <v>13.5</v>
      </c>
      <c r="F7" s="71">
        <v>1.5</v>
      </c>
    </row>
    <row r="9" spans="1:6" ht="15" customHeight="1" x14ac:dyDescent="0.2"/>
  </sheetData>
  <pageMargins left="0.7" right="0.7" top="0.75" bottom="0.75" header="0.3" footer="0.3"/>
  <pageSetup orientation="portrait" r:id="rId1"/>
</worksheet>
</file>

<file path=xl/worksheets/sheet9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334136-9628-4654-B8E2-BCFE701B0D1B}">
  <sheetPr>
    <tabColor theme="8" tint="0.79998168889431442"/>
  </sheetPr>
  <dimension ref="A1:B3"/>
  <sheetViews>
    <sheetView workbookViewId="0">
      <selection activeCell="A2" sqref="A2"/>
    </sheetView>
  </sheetViews>
  <sheetFormatPr baseColWidth="10" defaultColWidth="9.1640625" defaultRowHeight="16" x14ac:dyDescent="0.2"/>
  <cols>
    <col min="1" max="1" width="17.6640625" style="1" customWidth="1"/>
    <col min="2" max="2" width="12.5" style="1" bestFit="1" customWidth="1"/>
    <col min="3" max="16384" width="9.1640625" style="1"/>
  </cols>
  <sheetData>
    <row r="1" spans="1:2" x14ac:dyDescent="0.2">
      <c r="A1" s="1" t="str">
        <f>_xlfn.CONCAT( "Table of Initial Water Quality at Completions Pad Storage [",VLOOKUP("concentration", Units!$A$2:$B$11, 2, FALSE),"]")</f>
        <v>Table of Initial Water Quality at Completions Pad Storage [mg/liter]</v>
      </c>
    </row>
    <row r="2" spans="1:2" x14ac:dyDescent="0.2">
      <c r="A2" s="6" t="s">
        <v>137</v>
      </c>
      <c r="B2" s="6" t="s">
        <v>215</v>
      </c>
    </row>
    <row r="3" spans="1:2" x14ac:dyDescent="0.2">
      <c r="A3" s="6"/>
      <c r="B3" s="58"/>
    </row>
  </sheetData>
  <pageMargins left="0.7" right="0.7" top="0.75" bottom="0.75" header="0.3" footer="0.3"/>
</worksheet>
</file>

<file path=xl/worksheets/sheet9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28A4AC-774D-4F01-8B4F-3E23D6A50C57}">
  <sheetPr>
    <tabColor theme="0"/>
  </sheetPr>
  <dimension ref="A1:K12"/>
  <sheetViews>
    <sheetView workbookViewId="0">
      <selection activeCell="A2" sqref="A2"/>
    </sheetView>
  </sheetViews>
  <sheetFormatPr baseColWidth="10" defaultColWidth="8.83203125" defaultRowHeight="15" x14ac:dyDescent="0.2"/>
  <cols>
    <col min="1" max="1" width="41.33203125" bestFit="1" customWidth="1"/>
    <col min="2" max="2" width="21.5" bestFit="1" customWidth="1"/>
  </cols>
  <sheetData>
    <row r="1" spans="1:11" ht="16" x14ac:dyDescent="0.2">
      <c r="A1" s="1" t="str">
        <f>_xlfn.CONCAT( "Table of Treatment Expansion Lead Time [",VLOOKUP("decision period", Units!$A$2:$B$11, 2, FALSE),"s]")</f>
        <v>Table of Treatment Expansion Lead Time [weeks]</v>
      </c>
      <c r="B1" s="1"/>
      <c r="C1" s="1"/>
      <c r="D1" s="1"/>
      <c r="E1" s="1"/>
      <c r="F1" s="1"/>
    </row>
    <row r="2" spans="1:11" ht="16" x14ac:dyDescent="0.2">
      <c r="A2" s="6" t="s">
        <v>146</v>
      </c>
      <c r="B2" s="6" t="s">
        <v>209</v>
      </c>
      <c r="C2" s="6"/>
      <c r="D2" s="6"/>
      <c r="E2" s="6"/>
      <c r="F2" s="6"/>
    </row>
    <row r="3" spans="1:11" ht="16" x14ac:dyDescent="0.2">
      <c r="A3" s="6"/>
      <c r="B3" s="6"/>
      <c r="C3" s="54"/>
      <c r="D3" s="54"/>
      <c r="E3" s="54"/>
      <c r="F3" s="54"/>
    </row>
    <row r="4" spans="1:11" ht="16" x14ac:dyDescent="0.2">
      <c r="A4" s="6"/>
      <c r="B4" s="6"/>
      <c r="C4" s="54"/>
      <c r="D4" s="54"/>
      <c r="E4" s="54"/>
      <c r="F4" s="54"/>
    </row>
    <row r="5" spans="1:11" ht="16" x14ac:dyDescent="0.2">
      <c r="A5" s="6"/>
      <c r="B5" s="6"/>
      <c r="C5" s="54"/>
      <c r="D5" s="54"/>
      <c r="E5" s="54"/>
      <c r="F5" s="54"/>
    </row>
    <row r="6" spans="1:11" ht="16" x14ac:dyDescent="0.2">
      <c r="A6" s="6"/>
      <c r="B6" s="6"/>
      <c r="C6" s="54"/>
      <c r="D6" s="54"/>
      <c r="E6" s="54"/>
      <c r="F6" s="54"/>
    </row>
    <row r="7" spans="1:11" ht="16" x14ac:dyDescent="0.2">
      <c r="A7" s="6"/>
      <c r="B7" s="6"/>
      <c r="C7" s="54"/>
      <c r="D7" s="54"/>
      <c r="E7" s="54"/>
      <c r="F7" s="54"/>
      <c r="K7" s="5"/>
    </row>
    <row r="8" spans="1:11" ht="16" x14ac:dyDescent="0.2">
      <c r="A8" s="6"/>
      <c r="B8" s="6"/>
      <c r="C8" s="54"/>
      <c r="D8" s="54"/>
      <c r="E8" s="54"/>
      <c r="F8" s="54"/>
      <c r="K8" s="5"/>
    </row>
    <row r="9" spans="1:11" ht="16" x14ac:dyDescent="0.2">
      <c r="A9" s="6"/>
      <c r="B9" s="6"/>
      <c r="C9" s="54"/>
      <c r="D9" s="54"/>
      <c r="E9" s="54"/>
      <c r="F9" s="54"/>
      <c r="K9" s="5"/>
    </row>
    <row r="10" spans="1:11" ht="16" x14ac:dyDescent="0.2">
      <c r="A10" s="6"/>
      <c r="B10" s="6"/>
      <c r="C10" s="54"/>
      <c r="D10" s="54"/>
      <c r="E10" s="54"/>
      <c r="F10" s="54"/>
      <c r="K10" s="5"/>
    </row>
    <row r="11" spans="1:11" ht="16" x14ac:dyDescent="0.2">
      <c r="A11" s="6"/>
      <c r="B11" s="6"/>
      <c r="C11" s="54"/>
      <c r="D11" s="54"/>
      <c r="E11" s="54"/>
      <c r="F11" s="54"/>
      <c r="K11" s="5"/>
    </row>
    <row r="12" spans="1:11" ht="16" x14ac:dyDescent="0.2">
      <c r="A12" s="6"/>
      <c r="B12" s="6"/>
      <c r="C12" s="54"/>
      <c r="D12" s="54"/>
      <c r="E12" s="54"/>
      <c r="F12" s="54"/>
    </row>
  </sheetData>
  <pageMargins left="0.7" right="0.7" top="0.75" bottom="0.75" header="0.3" footer="0.3"/>
</worksheet>
</file>

<file path=xl/worksheets/sheet9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A3376C-B8BF-456A-9F8F-97FD96566A3A}">
  <sheetPr>
    <tabColor theme="0"/>
  </sheetPr>
  <dimension ref="A1:C4"/>
  <sheetViews>
    <sheetView workbookViewId="0">
      <selection activeCell="A2" sqref="A2"/>
    </sheetView>
  </sheetViews>
  <sheetFormatPr baseColWidth="10" defaultColWidth="8.83203125" defaultRowHeight="15" x14ac:dyDescent="0.2"/>
  <cols>
    <col min="1" max="1" width="13.33203125" customWidth="1"/>
  </cols>
  <sheetData>
    <row r="1" spans="1:3" ht="16" x14ac:dyDescent="0.2">
      <c r="A1" s="1" t="str">
        <f>_xlfn.CONCAT( "Table of Disposal Expansion Lead Time [",VLOOKUP("decision period", Units!$A$2:$B$11, 2, FALSE),"s]")</f>
        <v>Table of Disposal Expansion Lead Time [weeks]</v>
      </c>
      <c r="B1" s="1"/>
      <c r="C1" s="1"/>
    </row>
    <row r="2" spans="1:3" ht="16" x14ac:dyDescent="0.2">
      <c r="A2" s="6" t="s">
        <v>207</v>
      </c>
      <c r="B2" s="6"/>
      <c r="C2" s="6"/>
    </row>
    <row r="3" spans="1:3" ht="16" x14ac:dyDescent="0.2">
      <c r="A3" s="6"/>
      <c r="B3" s="54"/>
      <c r="C3" s="54"/>
    </row>
    <row r="4" spans="1:3" ht="16" x14ac:dyDescent="0.2">
      <c r="A4" s="6"/>
      <c r="B4" s="54"/>
      <c r="C4" s="54"/>
    </row>
  </sheetData>
  <pageMargins left="0.7" right="0.7" top="0.75" bottom="0.75" header="0.3" footer="0.3"/>
</worksheet>
</file>

<file path=xl/worksheets/sheet10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7EC6F2-1522-42F6-A09A-9709AB96F608}">
  <sheetPr>
    <tabColor theme="0"/>
  </sheetPr>
  <dimension ref="A1:E5"/>
  <sheetViews>
    <sheetView workbookViewId="0">
      <selection activeCell="A2" sqref="A2"/>
    </sheetView>
  </sheetViews>
  <sheetFormatPr baseColWidth="10" defaultColWidth="8.83203125" defaultRowHeight="15" x14ac:dyDescent="0.2"/>
  <cols>
    <col min="1" max="1" width="11.6640625" customWidth="1"/>
  </cols>
  <sheetData>
    <row r="1" spans="1:5" ht="16" x14ac:dyDescent="0.2">
      <c r="A1" s="1" t="str">
        <f>_xlfn.CONCAT( "Table of Storage Expansion Lead Time [",VLOOKUP("decision period", Units!$A$2:$B$11, 2, FALSE),"s]")</f>
        <v>Table of Storage Expansion Lead Time [weeks]</v>
      </c>
      <c r="B1" s="1"/>
      <c r="C1" s="1"/>
    </row>
    <row r="2" spans="1:5" ht="16" x14ac:dyDescent="0.2">
      <c r="A2" s="6" t="s">
        <v>148</v>
      </c>
      <c r="B2" s="6"/>
      <c r="C2" s="6"/>
      <c r="D2" s="6"/>
      <c r="E2" s="6"/>
    </row>
    <row r="3" spans="1:5" ht="16" x14ac:dyDescent="0.2">
      <c r="A3" s="6"/>
      <c r="B3" s="54"/>
      <c r="C3" s="54"/>
      <c r="D3" s="54"/>
      <c r="E3" s="54"/>
    </row>
    <row r="4" spans="1:5" ht="16" x14ac:dyDescent="0.2">
      <c r="A4" s="6"/>
      <c r="B4" s="54"/>
      <c r="C4" s="54"/>
      <c r="D4" s="54"/>
      <c r="E4" s="54"/>
    </row>
    <row r="5" spans="1:5" ht="16" x14ac:dyDescent="0.2">
      <c r="A5" s="6"/>
      <c r="B5" s="54"/>
      <c r="C5" s="54"/>
      <c r="D5" s="54"/>
      <c r="E5" s="54"/>
    </row>
  </sheetData>
  <pageMargins left="0.7" right="0.7" top="0.75" bottom="0.75" header="0.3" footer="0.3"/>
</worksheet>
</file>

<file path=xl/worksheets/sheet10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3D31AA-46D4-464A-9A51-F7F7B8767B7B}">
  <sheetPr>
    <tabColor theme="0"/>
  </sheetPr>
  <dimension ref="A1:B3"/>
  <sheetViews>
    <sheetView workbookViewId="0">
      <selection activeCell="A2" sqref="A2"/>
    </sheetView>
  </sheetViews>
  <sheetFormatPr baseColWidth="10" defaultColWidth="8.83203125" defaultRowHeight="15" x14ac:dyDescent="0.2"/>
  <cols>
    <col min="1" max="1" width="32.6640625" customWidth="1"/>
  </cols>
  <sheetData>
    <row r="1" spans="1:2" ht="17" thickBot="1" x14ac:dyDescent="0.25">
      <c r="A1" s="1" t="str">
        <f>_xlfn.CONCAT( "Table of Pipeline Expansion Lead Time - Distance Based [",VLOOKUP("decision period", Units!$A$2:$B$11, 2, FALSE),"s/",VLOOKUP("distance", Units!$A$2:$B$11, 2, FALSE),"]")</f>
        <v>Table of Pipeline Expansion Lead Time - Distance Based [weeks/mile]</v>
      </c>
    </row>
    <row r="2" spans="1:2" ht="16" x14ac:dyDescent="0.2">
      <c r="A2" s="3" t="s">
        <v>44</v>
      </c>
      <c r="B2" s="20" t="s">
        <v>216</v>
      </c>
    </row>
    <row r="3" spans="1:2" ht="17" thickBot="1" x14ac:dyDescent="0.25">
      <c r="A3" s="22" t="s">
        <v>258</v>
      </c>
      <c r="B3" s="57">
        <v>0.2</v>
      </c>
    </row>
  </sheetData>
  <pageMargins left="0.7" right="0.7" top="0.75" bottom="0.75" header="0.3" footer="0.3"/>
</worksheet>
</file>

<file path=xl/worksheets/sheet10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C876A9-1E8F-4C0D-BF38-C23F08A2F8DA}">
  <sheetPr>
    <tabColor theme="0"/>
  </sheetPr>
  <dimension ref="A1:E6"/>
  <sheetViews>
    <sheetView workbookViewId="0"/>
  </sheetViews>
  <sheetFormatPr baseColWidth="10" defaultColWidth="8.83203125" defaultRowHeight="15" x14ac:dyDescent="0.2"/>
  <sheetData>
    <row r="1" spans="1:5" ht="16" x14ac:dyDescent="0.2">
      <c r="A1" s="1" t="e">
        <f>_xlfn.CONCAT( "Table of Pipeline Expansion Lead Time - Capacity Based [",VLOOKUP("decision period",#REF!, 2, FALSE),"s]")</f>
        <v>#REF!</v>
      </c>
      <c r="B1" s="1"/>
      <c r="C1" s="1"/>
      <c r="D1" s="1"/>
    </row>
    <row r="2" spans="1:5" ht="16" x14ac:dyDescent="0.2">
      <c r="A2" s="6" t="s">
        <v>206</v>
      </c>
      <c r="B2" s="6" t="s">
        <v>206</v>
      </c>
      <c r="C2" s="6"/>
      <c r="D2" s="6"/>
      <c r="E2" s="6"/>
    </row>
    <row r="3" spans="1:5" ht="16" x14ac:dyDescent="0.2">
      <c r="A3" s="6"/>
      <c r="B3" s="60"/>
      <c r="C3" s="1"/>
      <c r="D3" s="1"/>
      <c r="E3" s="1"/>
    </row>
    <row r="4" spans="1:5" ht="16" x14ac:dyDescent="0.2">
      <c r="A4" s="6"/>
      <c r="B4" s="60"/>
      <c r="C4" s="1"/>
      <c r="D4" s="1"/>
      <c r="E4" s="1"/>
    </row>
    <row r="5" spans="1:5" ht="16" x14ac:dyDescent="0.2">
      <c r="A5" s="6"/>
      <c r="B5" s="60"/>
      <c r="C5" s="1"/>
      <c r="D5" s="1"/>
      <c r="E5" s="1"/>
    </row>
    <row r="6" spans="1:5" ht="16" x14ac:dyDescent="0.2">
      <c r="A6" s="6"/>
      <c r="B6" s="60"/>
      <c r="C6" s="1"/>
      <c r="D6" s="1"/>
      <c r="E6" s="1"/>
    </row>
  </sheetData>
  <pageMargins left="0.7" right="0.7" top="0.75" bottom="0.75" header="0.3" footer="0.3"/>
</worksheet>
</file>

<file path=xl/worksheets/sheet10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386754-0298-0143-B5D2-5311F4AFDC4F}">
  <dimension ref="A1:B2"/>
  <sheetViews>
    <sheetView workbookViewId="0">
      <selection activeCell="F4" sqref="F4"/>
    </sheetView>
  </sheetViews>
  <sheetFormatPr baseColWidth="10" defaultRowHeight="15" x14ac:dyDescent="0.2"/>
  <sheetData>
    <row r="1" spans="1:2" ht="17" thickBot="1" x14ac:dyDescent="0.25">
      <c r="A1" s="1" t="s">
        <v>262</v>
      </c>
      <c r="B1" s="1"/>
    </row>
    <row r="2" spans="1:2" ht="17" x14ac:dyDescent="0.2">
      <c r="A2" s="3" t="s">
        <v>207</v>
      </c>
      <c r="B2" s="62" t="s">
        <v>216</v>
      </c>
    </row>
  </sheetData>
  <pageMargins left="0.7" right="0.7" top="0.75" bottom="0.75" header="0.3" footer="0.3"/>
</worksheet>
</file>

<file path=xl/worksheets/sheet10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B0FD37-6B38-5E47-A627-F3BDABA7E934}">
  <dimension ref="A1:B2"/>
  <sheetViews>
    <sheetView workbookViewId="0">
      <selection activeCell="E7" sqref="E7"/>
    </sheetView>
  </sheetViews>
  <sheetFormatPr baseColWidth="10" defaultRowHeight="15" x14ac:dyDescent="0.2"/>
  <sheetData>
    <row r="1" spans="1:2" ht="17" thickBot="1" x14ac:dyDescent="0.25">
      <c r="A1" s="1" t="s">
        <v>263</v>
      </c>
      <c r="B1" s="1"/>
    </row>
    <row r="2" spans="1:2" ht="17" x14ac:dyDescent="0.2">
      <c r="A2" s="3" t="s">
        <v>207</v>
      </c>
      <c r="B2" s="62" t="s">
        <v>216</v>
      </c>
    </row>
  </sheetData>
  <pageMargins left="0.7" right="0.7" top="0.75" bottom="0.75" header="0.3" footer="0.3"/>
</worksheet>
</file>

<file path=xl/worksheets/sheet10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624E75-14B8-7140-AAB7-78C62C7F81B5}">
  <dimension ref="A1:B2"/>
  <sheetViews>
    <sheetView workbookViewId="0">
      <selection sqref="A1:B2"/>
    </sheetView>
  </sheetViews>
  <sheetFormatPr baseColWidth="10" defaultRowHeight="15" x14ac:dyDescent="0.2"/>
  <sheetData>
    <row r="1" spans="1:2" ht="17" thickBot="1" x14ac:dyDescent="0.25">
      <c r="A1" s="1" t="s">
        <v>264</v>
      </c>
      <c r="B1" s="1"/>
    </row>
    <row r="2" spans="1:2" ht="17" x14ac:dyDescent="0.2">
      <c r="A2" s="3" t="s">
        <v>207</v>
      </c>
      <c r="B2" s="62" t="s">
        <v>216</v>
      </c>
    </row>
  </sheetData>
  <pageMargins left="0.7" right="0.7" top="0.75" bottom="0.75" header="0.3" footer="0.3"/>
</worksheet>
</file>

<file path=xl/worksheets/sheet10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7A3D56-D0E0-7644-9ABD-B2C2305B3F6F}">
  <dimension ref="A1:B2"/>
  <sheetViews>
    <sheetView workbookViewId="0">
      <selection sqref="A1:B2"/>
    </sheetView>
  </sheetViews>
  <sheetFormatPr baseColWidth="10" defaultRowHeight="15" x14ac:dyDescent="0.2"/>
  <sheetData>
    <row r="1" spans="1:2" ht="17" thickBot="1" x14ac:dyDescent="0.25">
      <c r="A1" s="1" t="s">
        <v>265</v>
      </c>
      <c r="B1" s="1"/>
    </row>
    <row r="2" spans="1:2" ht="17" x14ac:dyDescent="0.2">
      <c r="A2" s="3" t="s">
        <v>207</v>
      </c>
      <c r="B2" s="62" t="s">
        <v>216</v>
      </c>
    </row>
  </sheetData>
  <pageMargins left="0.7" right="0.7" top="0.75" bottom="0.75" header="0.3" footer="0.3"/>
</worksheet>
</file>

<file path=xl/worksheets/sheet10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95BF9D-C714-6543-BB99-6BB0195667C1}">
  <dimension ref="A1:B2"/>
  <sheetViews>
    <sheetView workbookViewId="0">
      <selection sqref="A1:B2"/>
    </sheetView>
  </sheetViews>
  <sheetFormatPr baseColWidth="10" defaultRowHeight="15" x14ac:dyDescent="0.2"/>
  <sheetData>
    <row r="1" spans="1:2" ht="17" thickBot="1" x14ac:dyDescent="0.25">
      <c r="A1" s="1" t="s">
        <v>266</v>
      </c>
      <c r="B1" s="1"/>
    </row>
    <row r="2" spans="1:2" ht="17" x14ac:dyDescent="0.2">
      <c r="A2" s="3" t="s">
        <v>207</v>
      </c>
      <c r="B2" s="62" t="s">
        <v>216</v>
      </c>
    </row>
  </sheetData>
  <pageMargins left="0.7" right="0.7" top="0.75" bottom="0.75" header="0.3" footer="0.3"/>
</worksheet>
</file>

<file path=xl/worksheets/sheet10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476C4B-E64B-424F-922F-3419F696DC11}">
  <dimension ref="A1:B2"/>
  <sheetViews>
    <sheetView workbookViewId="0">
      <selection sqref="A1:B2"/>
    </sheetView>
  </sheetViews>
  <sheetFormatPr baseColWidth="10" defaultRowHeight="15" x14ac:dyDescent="0.2"/>
  <sheetData>
    <row r="1" spans="1:2" ht="17" thickBot="1" x14ac:dyDescent="0.25">
      <c r="A1" s="1" t="s">
        <v>268</v>
      </c>
      <c r="B1" s="1"/>
    </row>
    <row r="2" spans="1:2" ht="17" x14ac:dyDescent="0.2">
      <c r="A2" s="3" t="s">
        <v>207</v>
      </c>
      <c r="B2" s="62" t="s">
        <v>216</v>
      </c>
    </row>
  </sheetData>
  <pageMargins left="0.7" right="0.7" top="0.75" bottom="0.75" header="0.3" footer="0.3"/>
</worksheet>
</file>

<file path=xl/worksheets/sheet10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CE3F0B-DA65-4644-89E8-69C54E8A2D09}">
  <dimension ref="A1:B2"/>
  <sheetViews>
    <sheetView workbookViewId="0">
      <selection sqref="A1:B2"/>
    </sheetView>
  </sheetViews>
  <sheetFormatPr baseColWidth="10" defaultRowHeight="15" x14ac:dyDescent="0.2"/>
  <sheetData>
    <row r="1" spans="1:2" ht="17" thickBot="1" x14ac:dyDescent="0.25">
      <c r="A1" s="1" t="s">
        <v>267</v>
      </c>
      <c r="B1" s="1"/>
    </row>
    <row r="2" spans="1:2" ht="17" x14ac:dyDescent="0.2">
      <c r="A2" s="3" t="s">
        <v>207</v>
      </c>
      <c r="B2" s="62" t="s">
        <v>216</v>
      </c>
    </row>
  </sheetData>
  <pageMargins left="0.7" right="0.7" top="0.75" bottom="0.75" header="0.3" footer="0.3"/>
</worksheet>
</file>

<file path=xl/worksheets/sheet1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72D204-9BC5-9F40-90B0-3D3E0DFE6A2D}">
  <sheetPr>
    <tabColor theme="1" tint="0.499984740745262"/>
  </sheetPr>
  <dimension ref="A1:C14"/>
  <sheetViews>
    <sheetView workbookViewId="0">
      <selection activeCell="A16" sqref="A16"/>
    </sheetView>
  </sheetViews>
  <sheetFormatPr baseColWidth="10" defaultColWidth="9.1640625" defaultRowHeight="16" x14ac:dyDescent="0.2"/>
  <cols>
    <col min="1" max="1" width="33.83203125" style="74" bestFit="1" customWidth="1"/>
    <col min="2" max="16384" width="9.1640625" style="74"/>
  </cols>
  <sheetData>
    <row r="1" spans="1:3" ht="17" thickBot="1" x14ac:dyDescent="0.25">
      <c r="A1" s="73" t="s">
        <v>275</v>
      </c>
    </row>
    <row r="2" spans="1:3" x14ac:dyDescent="0.2">
      <c r="A2" s="75" t="s">
        <v>44</v>
      </c>
      <c r="B2" s="76" t="s">
        <v>216</v>
      </c>
    </row>
    <row r="3" spans="1:3" x14ac:dyDescent="0.2">
      <c r="A3" s="77" t="s">
        <v>276</v>
      </c>
      <c r="B3" s="78">
        <v>1.86</v>
      </c>
    </row>
    <row r="4" spans="1:3" x14ac:dyDescent="0.2">
      <c r="A4" s="77" t="s">
        <v>277</v>
      </c>
      <c r="B4" s="78">
        <v>2</v>
      </c>
    </row>
    <row r="5" spans="1:3" x14ac:dyDescent="0.2">
      <c r="A5" s="77" t="s">
        <v>278</v>
      </c>
      <c r="B5" s="78">
        <v>1.86</v>
      </c>
    </row>
    <row r="6" spans="1:3" x14ac:dyDescent="0.2">
      <c r="A6" s="77" t="s">
        <v>279</v>
      </c>
      <c r="B6" s="78">
        <v>2</v>
      </c>
    </row>
    <row r="7" spans="1:3" x14ac:dyDescent="0.2">
      <c r="A7" s="77" t="s">
        <v>280</v>
      </c>
      <c r="B7" s="78">
        <v>5.59</v>
      </c>
    </row>
    <row r="8" spans="1:3" x14ac:dyDescent="0.2">
      <c r="A8" s="77" t="s">
        <v>281</v>
      </c>
      <c r="B8" s="78">
        <v>1</v>
      </c>
    </row>
    <row r="9" spans="1:3" x14ac:dyDescent="0.2">
      <c r="A9" s="77" t="s">
        <v>282</v>
      </c>
      <c r="B9" s="78">
        <v>5.59</v>
      </c>
    </row>
    <row r="10" spans="1:3" x14ac:dyDescent="0.2">
      <c r="A10" s="77" t="s">
        <v>283</v>
      </c>
      <c r="B10" s="78">
        <v>1</v>
      </c>
    </row>
    <row r="11" spans="1:3" x14ac:dyDescent="0.2">
      <c r="A11" s="77" t="s">
        <v>284</v>
      </c>
      <c r="B11" s="78">
        <v>1.86</v>
      </c>
    </row>
    <row r="12" spans="1:3" x14ac:dyDescent="0.2">
      <c r="A12" s="77" t="s">
        <v>285</v>
      </c>
      <c r="B12" s="78">
        <v>2</v>
      </c>
    </row>
    <row r="13" spans="1:3" x14ac:dyDescent="0.2">
      <c r="A13" s="77" t="s">
        <v>286</v>
      </c>
      <c r="B13" s="78">
        <v>0.7</v>
      </c>
      <c r="C13" s="74" t="s">
        <v>287</v>
      </c>
    </row>
    <row r="14" spans="1:3" ht="17" thickBot="1" x14ac:dyDescent="0.25">
      <c r="A14" s="79" t="s">
        <v>288</v>
      </c>
      <c r="B14" s="80">
        <v>0.5</v>
      </c>
      <c r="C14" s="74" t="s">
        <v>287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110</vt:i4>
      </vt:variant>
    </vt:vector>
  </HeadingPairs>
  <TitlesOfParts>
    <vt:vector size="110" baseType="lpstr">
      <vt:lpstr>Overview</vt:lpstr>
      <vt:lpstr>Schematic</vt:lpstr>
      <vt:lpstr>Units</vt:lpstr>
      <vt:lpstr>ProductionPads</vt:lpstr>
      <vt:lpstr>ProductionTanks</vt:lpstr>
      <vt:lpstr>CompletionsPads</vt:lpstr>
      <vt:lpstr>SWDSites</vt:lpstr>
      <vt:lpstr>ExternalWaterSources</vt:lpstr>
      <vt:lpstr>WaterQualityComponents</vt:lpstr>
      <vt:lpstr>AirEmissionsComponents</vt:lpstr>
      <vt:lpstr>StorageSites</vt:lpstr>
      <vt:lpstr>TreatmentSites</vt:lpstr>
      <vt:lpstr>TreatmentTechnologies</vt:lpstr>
      <vt:lpstr>ReuseOptions</vt:lpstr>
      <vt:lpstr>NetworkNodes</vt:lpstr>
      <vt:lpstr>PipelineDiameters</vt:lpstr>
      <vt:lpstr>StorageCapacities</vt:lpstr>
      <vt:lpstr>TreatmentCapacities</vt:lpstr>
      <vt:lpstr>InjectionCapacities</vt:lpstr>
      <vt:lpstr>PNA</vt:lpstr>
      <vt:lpstr>CNA</vt:lpstr>
      <vt:lpstr>CCA</vt:lpstr>
      <vt:lpstr>NNA</vt:lpstr>
      <vt:lpstr>NCA</vt:lpstr>
      <vt:lpstr>NKA</vt:lpstr>
      <vt:lpstr>NRA</vt:lpstr>
      <vt:lpstr>NSA</vt:lpstr>
      <vt:lpstr>NOA</vt:lpstr>
      <vt:lpstr>SNA</vt:lpstr>
      <vt:lpstr>SOA</vt:lpstr>
      <vt:lpstr>FCA</vt:lpstr>
      <vt:lpstr>RCA</vt:lpstr>
      <vt:lpstr>RSA</vt:lpstr>
      <vt:lpstr>SCA</vt:lpstr>
      <vt:lpstr>RNA</vt:lpstr>
      <vt:lpstr>RKA</vt:lpstr>
      <vt:lpstr>ROA</vt:lpstr>
      <vt:lpstr>PCT</vt:lpstr>
      <vt:lpstr>FCT</vt:lpstr>
      <vt:lpstr>PKT</vt:lpstr>
      <vt:lpstr>CKT</vt:lpstr>
      <vt:lpstr>CCT</vt:lpstr>
      <vt:lpstr>CST</vt:lpstr>
      <vt:lpstr>RST</vt:lpstr>
      <vt:lpstr>ROT</vt:lpstr>
      <vt:lpstr>SOT</vt:lpstr>
      <vt:lpstr>RKT</vt:lpstr>
      <vt:lpstr>Elevation</vt:lpstr>
      <vt:lpstr>CompletionsDemand</vt:lpstr>
      <vt:lpstr>PadRates</vt:lpstr>
      <vt:lpstr>FlowbackRates</vt:lpstr>
      <vt:lpstr>WellPressure</vt:lpstr>
      <vt:lpstr>InitialPipelineCapacity</vt:lpstr>
      <vt:lpstr>InitialPipelineDiameters</vt:lpstr>
      <vt:lpstr>InitialDisposalCapacity</vt:lpstr>
      <vt:lpstr>InitialStorageCapacity</vt:lpstr>
      <vt:lpstr>InitialTreatmentCapacity</vt:lpstr>
      <vt:lpstr>ReuseMinimum</vt:lpstr>
      <vt:lpstr>ReuseCapacity</vt:lpstr>
      <vt:lpstr>ExtWaterSourcingAvailability</vt:lpstr>
      <vt:lpstr>CompletionsPadStorage</vt:lpstr>
      <vt:lpstr>PadOffloadingCapacity</vt:lpstr>
      <vt:lpstr>NodeCapacities</vt:lpstr>
      <vt:lpstr>DisposalOperatingCapacity</vt:lpstr>
      <vt:lpstr>DisposalOperationalCost</vt:lpstr>
      <vt:lpstr>TreatmentOperationalCost</vt:lpstr>
      <vt:lpstr>ReuseOperationalCost</vt:lpstr>
      <vt:lpstr>PipelineOperationalCost</vt:lpstr>
      <vt:lpstr>ExternalSourcingCost</vt:lpstr>
      <vt:lpstr>TruckingHourlyCost</vt:lpstr>
      <vt:lpstr>TruckingTime</vt:lpstr>
      <vt:lpstr>DisposalExpansionCost</vt:lpstr>
      <vt:lpstr>DisposalCapacityIncrements</vt:lpstr>
      <vt:lpstr>StorageExpansionCost</vt:lpstr>
      <vt:lpstr>StorageCapacityIncrements</vt:lpstr>
      <vt:lpstr>TreatmentExpansionCost</vt:lpstr>
      <vt:lpstr>TreatmentCapacityIncrements</vt:lpstr>
      <vt:lpstr>PipelineCapexDistanceBased</vt:lpstr>
      <vt:lpstr>PipelineExpansionDistance</vt:lpstr>
      <vt:lpstr>PipelineCapexCapacityBased</vt:lpstr>
      <vt:lpstr>PipelineCapacityIncrements</vt:lpstr>
      <vt:lpstr>PipelineDiameterValues</vt:lpstr>
      <vt:lpstr>TreatmentEfficiency</vt:lpstr>
      <vt:lpstr>RemovalEfficiency</vt:lpstr>
      <vt:lpstr>DesalinationTechnologies</vt:lpstr>
      <vt:lpstr>DesalinationSites</vt:lpstr>
      <vt:lpstr>BeneficialReuseCost</vt:lpstr>
      <vt:lpstr>BeneficialReuseCredit</vt:lpstr>
      <vt:lpstr>CompletionsPadOutsideSystem</vt:lpstr>
      <vt:lpstr>Hydraulics</vt:lpstr>
      <vt:lpstr>Economics</vt:lpstr>
      <vt:lpstr>ExternalWaterQuality</vt:lpstr>
      <vt:lpstr>PadWaterQuality</vt:lpstr>
      <vt:lpstr>StorageInitialWaterQuality</vt:lpstr>
      <vt:lpstr>AirEmissionCoefficients</vt:lpstr>
      <vt:lpstr>TreatmentEmissionCoefficients</vt:lpstr>
      <vt:lpstr>PadStorageInitialWaterQuality</vt:lpstr>
      <vt:lpstr>TreatmentExpansionLeadTime</vt:lpstr>
      <vt:lpstr>DisposalExpansionLeadTime</vt:lpstr>
      <vt:lpstr>StorageExpansionLeadTime</vt:lpstr>
      <vt:lpstr>PipelineExpansionLeadTime_Dist</vt:lpstr>
      <vt:lpstr>PipelineExpansionLeadTime_Capac</vt:lpstr>
      <vt:lpstr>SWDDeep</vt:lpstr>
      <vt:lpstr>SWDAveragePressure</vt:lpstr>
      <vt:lpstr>SWDProxPAWell</vt:lpstr>
      <vt:lpstr>SWDProxInactiveWell</vt:lpstr>
      <vt:lpstr>SWDProxEQ</vt:lpstr>
      <vt:lpstr>SWDProxFault</vt:lpstr>
      <vt:lpstr>SWDProxHpOrLpWell</vt:lpstr>
      <vt:lpstr>SWDRiskFactors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Drouven, Markus G.</dc:creator>
  <cp:keywords/>
  <dc:description/>
  <cp:lastModifiedBy>Michael Pesce</cp:lastModifiedBy>
  <cp:revision/>
  <dcterms:created xsi:type="dcterms:W3CDTF">2021-03-26T14:51:49Z</dcterms:created>
  <dcterms:modified xsi:type="dcterms:W3CDTF">2026-04-07T16:34:18Z</dcterms:modified>
  <cp:category/>
  <cp:contentStatus/>
</cp:coreProperties>
</file>